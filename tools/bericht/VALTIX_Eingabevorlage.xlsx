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 Anleitung" sheetId="1" state="visible" r:id="rId3"/>
    <sheet name="1 Stammdaten" sheetId="2" state="visible" r:id="rId4"/>
    <sheet name="2 GuV" sheetId="3" state="visible" r:id="rId5"/>
    <sheet name="3 Mengen &amp; Operativ" sheetId="4" state="visible" r:id="rId6"/>
    <sheet name="4 Liquidität &amp; Bilanz" sheetId="5" state="visible" r:id="rId7"/>
    <sheet name="5 Zielwerte" sheetId="6" state="visible" r:id="rId8"/>
    <sheet name="6 Prüfun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9" authorId="0">
      <text>
        <r>
          <rPr>
            <sz val="10"/>
            <rFont val="Arial"/>
            <family val="2"/>
          </rPr>
          <t xml:space="preserve">Der Monat, für den das Cockpit erstellt wird. Alle Vormonate desselben Jahres bitte ebenfalls ausfüllen.</t>
        </r>
      </text>
    </comment>
    <comment ref="A14" authorId="0">
      <text>
        <r>
          <rPr>
            <sz val="10"/>
            <rFont val="Arial"/>
            <family val="2"/>
          </rPr>
          <t xml:space="preserve">Die Einheit, in der Sie Ihre Leistung zählen. Sie ist Bezugsgröße für Break-Even und Preis je Einheit.</t>
        </r>
      </text>
    </comment>
    <comment ref="A15" authorId="0">
      <text>
        <r>
          <rPr>
            <sz val="10"/>
            <rFont val="Arial"/>
            <family val="2"/>
          </rPr>
          <t xml:space="preserve">Wird in Tabellen und Diagrammen verwendet.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Ihr Kerngeschäft – z. B. Speisen/Getränke, Reinigungsleistung, Beratungshonorar.</t>
        </r>
      </text>
    </comment>
    <comment ref="A7" authorId="0">
      <text>
        <r>
          <rPr>
            <sz val="10"/>
            <rFont val="Arial"/>
            <family val="2"/>
          </rPr>
          <t xml:space="preserve">z. B. Trocknen, Glasreinigung, Lieferung.</t>
        </r>
      </text>
    </comment>
    <comment ref="A11" authorId="0">
      <text>
        <r>
          <rPr>
            <sz val="10"/>
            <rFont val="Arial"/>
            <family val="2"/>
          </rPr>
          <t xml:space="preserve">z. B. Erstattungen, Anlagenverkauf, Zuschüsse.</t>
        </r>
      </text>
    </comment>
    <comment ref="A15" authorId="0">
      <text>
        <r>
          <rPr>
            <sz val="10"/>
            <rFont val="Arial"/>
            <family val="2"/>
          </rPr>
          <t xml:space="preserve">Rohstoffe, Handelsware, Verbrauchsmaterial.</t>
        </r>
      </text>
    </comment>
    <comment ref="A17" authorId="0">
      <text>
        <r>
          <rPr>
            <sz val="10"/>
            <rFont val="Arial"/>
            <family val="2"/>
          </rPr>
          <t xml:space="preserve">Nur wenn Löhne direkt mit der Menge schwanken – z. B. Reinigungskräfte je Objektstunde. Sonst unter Fixkosten eintragen.</t>
        </r>
      </text>
    </comment>
    <comment ref="A18" authorId="0">
      <text>
        <r>
          <rPr>
            <sz val="10"/>
            <rFont val="Arial"/>
            <family val="2"/>
          </rPr>
          <t xml:space="preserve">z. B. Strom/Wasser je Maschinengang.</t>
        </r>
      </text>
    </comment>
    <comment ref="A19" authorId="0">
      <text>
        <r>
          <rPr>
            <sz val="10"/>
            <rFont val="Arial"/>
            <family val="2"/>
          </rPr>
          <t xml:space="preserve">z. B. Lieferdienste, Buchungsportale.</t>
        </r>
      </text>
    </comment>
    <comment ref="A27" authorId="0">
      <text>
        <r>
          <rPr>
            <sz val="10"/>
            <rFont val="Arial"/>
            <family val="2"/>
          </rPr>
          <t xml:space="preserve">Alle Löhne und Gehälter inkl. Sozialabgaben, die nicht oben als leistungsabhängig erfasst wurden.</t>
        </r>
      </text>
    </comment>
    <comment ref="A30" authorId="0">
      <text>
        <r>
          <rPr>
            <sz val="10"/>
            <rFont val="Arial"/>
            <family val="2"/>
          </rPr>
          <t xml:space="preserve">Leasing, Versicherung, Steuer, Wartung.</t>
        </r>
      </text>
    </comment>
    <comment ref="A41" authorId="0">
      <text>
        <r>
          <rPr>
            <sz val="10"/>
            <rFont val="Arial"/>
            <family val="2"/>
          </rPr>
          <t xml:space="preserve">Monatswert. Bei Jahresbetrag: durch 12 teilen.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Zahl der abgerechneten Einheiten im Monat – z. B. Bons, Waschgänge, verrechnete Stunden.</t>
        </r>
      </text>
    </comment>
    <comment ref="A7" authorId="0">
      <text>
        <r>
          <rPr>
            <sz val="10"/>
            <rFont val="Arial"/>
            <family val="2"/>
          </rPr>
          <t xml:space="preserve">Was maximal möglich wäre. Daraus errechnen wir die Auslastung.</t>
        </r>
      </text>
    </comment>
    <comment ref="A14" authorId="0">
      <text>
        <r>
          <rPr>
            <sz val="10"/>
            <rFont val="Arial"/>
            <family val="2"/>
          </rPr>
          <t xml:space="preserve">Teilzeit anteilig – z. B. zwei Halbtagskräfte = 1,0 VZÄ.</t>
        </r>
      </text>
    </comment>
    <comment ref="A23" authorId="0">
      <text>
        <r>
          <rPr>
            <sz val="10"/>
            <rFont val="Arial"/>
            <family val="2"/>
          </rPr>
          <t xml:space="preserve">Wert der gesicherten, noch nicht abgearbeiteten Aufträge.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8" authorId="0">
      <text>
        <r>
          <rPr>
            <sz val="10"/>
            <rFont val="Arial"/>
            <family val="2"/>
          </rPr>
          <t xml:space="preserve">Lieferanten, Steuern, Löhne, Kontokorrent.</t>
        </r>
      </text>
    </comment>
  </commentList>
</comments>
</file>

<file path=xl/sharedStrings.xml><?xml version="1.0" encoding="utf-8"?>
<sst xmlns="http://schemas.openxmlformats.org/spreadsheetml/2006/main" count="239" uniqueCount="199">
  <si>
    <t xml:space="preserve">Valtix Basismodell – Eingabevorlage</t>
  </si>
  <si>
    <t xml:space="preserve">Bitte nur die gelb hinterlegten Felder ausfüllen und die Datei anschließend zurücksenden.</t>
  </si>
  <si>
    <t xml:space="preserve">SO GEHEN SIE VOR</t>
  </si>
  <si>
    <t xml:space="preserve">1.</t>
  </si>
  <si>
    <t xml:space="preserve">Blatt „1 Stammdaten“ ausfüllen – dort legen Sie unter anderem fest, wie Ihre Leistungseinheit heißt (z. B. Bon, Waschgang, Beratertag, Monteurstunde).</t>
  </si>
  <si>
    <t xml:space="preserve">2.</t>
  </si>
  <si>
    <t xml:space="preserve">Blatt „2 GuV“ – Erlöse und Kosten je Monat eintragen. Alle Beträge netto, ohne Umsatzsteuer.</t>
  </si>
  <si>
    <t xml:space="preserve">3.</t>
  </si>
  <si>
    <t xml:space="preserve">Blatt „3 Mengen &amp; Operativ“ – Stückzahlen, Mitarbeitende und Ihre operativen Kennzahlen.</t>
  </si>
  <si>
    <t xml:space="preserve">4.</t>
  </si>
  <si>
    <t xml:space="preserve">Blatt „4 Liquidität &amp; Bilanz“ – Kontostand, Forderungen und Eigenkapital je Monatsende.</t>
  </si>
  <si>
    <t xml:space="preserve">5.</t>
  </si>
  <si>
    <t xml:space="preserve">Blatt „5 Zielwerte“ – welche Werte gelten für Sie als Ziel? Daraus entsteht die Ampel im Bericht.</t>
  </si>
  <si>
    <t xml:space="preserve">6.</t>
  </si>
  <si>
    <t xml:space="preserve">Blatt „6 Prüfung“ öffnen: Steht dort überall „OK“, ist die Datei vollständig.</t>
  </si>
  <si>
    <t xml:space="preserve">FARBLEGENDE</t>
  </si>
  <si>
    <t xml:space="preserve">Gelb</t>
  </si>
  <si>
    <t xml:space="preserve">Eingabefeld – hier tragen Sie Ihre Werte ein (blaue Schrift).</t>
  </si>
  <si>
    <t xml:space="preserve">Grau-blau</t>
  </si>
  <si>
    <t xml:space="preserve">Wird automatisch berechnet – bitte nicht überschreiben.</t>
  </si>
  <si>
    <t xml:space="preserve">Weiß</t>
  </si>
  <si>
    <t xml:space="preserve">Beschriftung.</t>
  </si>
  <si>
    <t xml:space="preserve">WICHTIGE HINWEISE</t>
  </si>
  <si>
    <t xml:space="preserve">•</t>
  </si>
  <si>
    <t xml:space="preserve">Alle Beträge bitte als positive Zahl eintragen – auch Kosten. Die Vorzeichen setzen wir.</t>
  </si>
  <si>
    <t xml:space="preserve">Alle Beträge netto (ohne Umsatzsteuer).</t>
  </si>
  <si>
    <t xml:space="preserve">Monate, für die noch keine Zahlen vorliegen, einfach leer lassen.</t>
  </si>
  <si>
    <t xml:space="preserve">Nicht zutreffende Positionen leer lassen – nicht löschen, damit die Struktur erhalten bleibt.</t>
  </si>
  <si>
    <t xml:space="preserve">Zeilen mit „(optional)“ können entfallen; der Bericht wird dann ohne diese Kennzahl erstellt.</t>
  </si>
  <si>
    <t xml:space="preserve">Bei Fragen zu einer Position: mit der Maus über die Beschriftung fahren – dort stehen Hinweise.</t>
  </si>
  <si>
    <t xml:space="preserve">WAS SIE ZURÜCKBEKOMMEN</t>
  </si>
  <si>
    <t xml:space="preserve">Das monatliche Management-Cockpit: Dashboard mit Ergebnisbrücke, Kostenanalyse, Vormonats- und Halbjahresvergleich, KPI-Ampel, Break-Even-Rechnung und Maßnahmenkatalog.</t>
  </si>
  <si>
    <t xml:space="preserve">1  Stammdaten</t>
  </si>
  <si>
    <t xml:space="preserve">Grundangaben zum Unternehmen und zur Berichtsperiode.</t>
  </si>
  <si>
    <t xml:space="preserve">Angabe</t>
  </si>
  <si>
    <t xml:space="preserve">Ihre Eingabe</t>
  </si>
  <si>
    <t xml:space="preserve">Beispiel / Hinweis</t>
  </si>
  <si>
    <t xml:space="preserve">Firmenname</t>
  </si>
  <si>
    <t xml:space="preserve">Muster Dienstleistungs GmbH</t>
  </si>
  <si>
    <t xml:space="preserve">Rechtsform</t>
  </si>
  <si>
    <t xml:space="preserve">GmbH / e. K. / GbR / UG</t>
  </si>
  <si>
    <t xml:space="preserve">Branche / Tätigkeit</t>
  </si>
  <si>
    <t xml:space="preserve">Gebäudereinigung, Gastronomie, Handwerk …</t>
  </si>
  <si>
    <t xml:space="preserve">Berichtsjahr</t>
  </si>
  <si>
    <t xml:space="preserve">2026</t>
  </si>
  <si>
    <t xml:space="preserve">Berichtsmonat (aktueller Monat)</t>
  </si>
  <si>
    <t xml:space="preserve">Juli</t>
  </si>
  <si>
    <t xml:space="preserve">Ansprechpartner</t>
  </si>
  <si>
    <t xml:space="preserve">Vorname Nachname</t>
  </si>
  <si>
    <t xml:space="preserve">E-Mail für Rückfragen</t>
  </si>
  <si>
    <t xml:space="preserve">name@firma.de</t>
  </si>
  <si>
    <t xml:space="preserve">Leistungseinheit</t>
  </si>
  <si>
    <t xml:space="preserve">Bezeichnung Ihrer Leistungseinheit</t>
  </si>
  <si>
    <t xml:space="preserve">Bon / Waschgang / Beratertag / Monteurstunde</t>
  </si>
  <si>
    <t xml:space="preserve">Bezeichnung im Plural</t>
  </si>
  <si>
    <t xml:space="preserve">Bons / Waschgänge / Beratertage</t>
  </si>
  <si>
    <t xml:space="preserve">Hinweis: Alle Beträge in dieser Datei netto (ohne Umsatzsteuer) und als positive Zahl eintragen.</t>
  </si>
  <si>
    <t xml:space="preserve">2  Gewinn- und Verlustrechnung</t>
  </si>
  <si>
    <t xml:space="preserve">Alle Beträge netto und als positive Zahl. Nicht zutreffende Zeilen leer lassen.</t>
  </si>
  <si>
    <t xml:space="preserve">Position</t>
  </si>
  <si>
    <t xml:space="preserve">Januar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</si>
  <si>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</si>
  <si>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</si>
  <si>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</si>
  <si>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</si>
  <si>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</si>
  <si>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</si>
  <si>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</si>
  <si>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</si>
  <si>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</si>
  <si>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</si>
  <si>
    <t xml:space="preserve">ERLÖSE</t>
  </si>
  <si>
    <t xml:space="preserve">Erlöse Hauptleistung</t>
  </si>
  <si>
    <t xml:space="preserve">Erlöse Nebenleistung 1 (optional)</t>
  </si>
  <si>
    <t xml:space="preserve">Erlöse Nebenleistung 2 (optional)</t>
  </si>
  <si>
    <t xml:space="preserve">Warenverkauf / weiterberechnetes Material (optional)</t>
  </si>
  <si>
    <t xml:space="preserve">Σ  Umsatzerlöse</t>
  </si>
  <si>
    <t xml:space="preserve">Sonstige betriebliche Erträge</t>
  </si>
  <si>
    <t xml:space="preserve">Σ  Gesamtleistung</t>
  </si>
  <si>
    <t xml:space="preserve">VARIABLE KOSTEN  (steigen mit jeder zusätzlichen Leistungseinheit)</t>
  </si>
  <si>
    <t xml:space="preserve">Wareneinsatz / Materialaufwand</t>
  </si>
  <si>
    <t xml:space="preserve">Fremdleistungen / Subunternehmer</t>
  </si>
  <si>
    <t xml:space="preserve">Leistungsabhängige Löhne (optional)</t>
  </si>
  <si>
    <t xml:space="preserve">Energie mengenabhängig (optional)</t>
  </si>
  <si>
    <t xml:space="preserve">Provisionen / Plattformgebühren (optional)</t>
  </si>
  <si>
    <t xml:space="preserve">Verpackung / Transport (optional)</t>
  </si>
  <si>
    <t xml:space="preserve">Sonstige variable Kosten (optional)</t>
  </si>
  <si>
    <t xml:space="preserve">Σ  Variable Kosten gesamt</t>
  </si>
  <si>
    <t xml:space="preserve">Σ  Deckungsbeitrag</t>
  </si>
  <si>
    <t xml:space="preserve">  Deckungsbeitragsquote</t>
  </si>
  <si>
    <t xml:space="preserve">FIXKOSTEN  (fallen unabhängig von der Menge an)</t>
  </si>
  <si>
    <t xml:space="preserve">Personalaufwand (inkl. Arbeitgeberanteil)</t>
  </si>
  <si>
    <t xml:space="preserve">Miete &amp; Nebenkosten</t>
  </si>
  <si>
    <t xml:space="preserve">Energie (Grundgebühren, Heizung)</t>
  </si>
  <si>
    <t xml:space="preserve">Fahrzeuge / Fuhrpark</t>
  </si>
  <si>
    <t xml:space="preserve">Wartung, Reparatur &amp; Instandhaltung</t>
  </si>
  <si>
    <t xml:space="preserve">Versicherungen &amp; Beiträge (inkl. Berufsgenossenschaft)</t>
  </si>
  <si>
    <t xml:space="preserve">IT, Software &amp; Kommunikation</t>
  </si>
  <si>
    <t xml:space="preserve">Marketing &amp; Vertrieb</t>
  </si>
  <si>
    <t xml:space="preserve">Beratung (Steuerberatung, Recht)</t>
  </si>
  <si>
    <t xml:space="preserve">Sonstige betriebliche Aufwendungen</t>
  </si>
  <si>
    <t xml:space="preserve">Σ  Fixkosten gesamt (ohne Abschreibungen)</t>
  </si>
  <si>
    <t xml:space="preserve">Σ  EBITDA</t>
  </si>
  <si>
    <t xml:space="preserve">ABSCHREIBUNGEN UND ZINSEN</t>
  </si>
  <si>
    <t xml:space="preserve">Abschreibungen (AfA)</t>
  </si>
  <si>
    <t xml:space="preserve">Σ  EBIT</t>
  </si>
  <si>
    <t xml:space="preserve">Zinsaufwand (positiv eintragen)</t>
  </si>
  <si>
    <t xml:space="preserve">Zinserträge (optional)</t>
  </si>
  <si>
    <t xml:space="preserve">Σ  EBT (Ergebnis vor Steuern)</t>
  </si>
  <si>
    <t xml:space="preserve">  EBT-Marge</t>
  </si>
  <si>
    <t xml:space="preserve">3  Mengen und operative Kennzahlen</t>
  </si>
  <si>
    <t xml:space="preserve">Die Leistungseinheit haben Sie in Blatt „1 Stammdaten“ festgelegt.</t>
  </si>
  <si>
    <t xml:space="preserve">Kennzahl</t>
  </si>
  <si>
    <t xml:space="preserve">MENGENGERÜST</t>
  </si>
  <si>
    <t xml:space="preserve">Anzahl Leistungseinheiten</t>
  </si>
  <si>
    <t xml:space="preserve">Kapazität (mögliche Einheiten, optional)</t>
  </si>
  <si>
    <t xml:space="preserve">  Auslastung</t>
  </si>
  <si>
    <t xml:space="preserve">  Ø Erlös je Leistungseinheit</t>
  </si>
  <si>
    <t xml:space="preserve">  Deckungsbeitrag je Leistungseinheit</t>
  </si>
  <si>
    <t xml:space="preserve">PERSONAL</t>
  </si>
  <si>
    <t xml:space="preserve">Mitarbeitende (Köpfe)</t>
  </si>
  <si>
    <t xml:space="preserve">Vollzeitäquivalente (VZÄ)</t>
  </si>
  <si>
    <t xml:space="preserve">Bezahlte Stunden gesamt (optional)</t>
  </si>
  <si>
    <t xml:space="preserve">  Produktivstundenquote</t>
  </si>
  <si>
    <t xml:space="preserve">Krankenstand in % (optional)</t>
  </si>
  <si>
    <t xml:space="preserve">Austritte im Monat (optional)</t>
  </si>
  <si>
    <t xml:space="preserve">KUNDEN &amp; AUFTRÄGE</t>
  </si>
  <si>
    <t xml:space="preserve">Aktive Kunden / Objekte / Mandate</t>
  </si>
  <si>
    <t xml:space="preserve">Neukunden bzw. Neuaufträge im Monat</t>
  </si>
  <si>
    <t xml:space="preserve">Auftragsbestand / Vertragsvolumen (optional)</t>
  </si>
  <si>
    <t xml:space="preserve">Reklamationen (optional)</t>
  </si>
  <si>
    <t xml:space="preserve">EIGENE KENNZAHLEN  (bis zu vier – Bezeichnung in Spalte A selbst eintragen)</t>
  </si>
  <si>
    <t xml:space="preserve">Eigene Kennzahl 1 …</t>
  </si>
  <si>
    <t xml:space="preserve">Eigene Kennzahl 2 …</t>
  </si>
  <si>
    <t xml:space="preserve">Eigene Kennzahl 3 …</t>
  </si>
  <si>
    <t xml:space="preserve">Eigene Kennzahl 4 …</t>
  </si>
  <si>
    <t xml:space="preserve">4  Liquidität und Bilanz</t>
  </si>
  <si>
    <t xml:space="preserve">Jeweils Stand zum Monatsende. Für die Ampel genügen die ersten vier Zeilen.</t>
  </si>
  <si>
    <t xml:space="preserve">LIQUIDITÄT</t>
  </si>
  <si>
    <t xml:space="preserve">Liquide Mittel (Bank + Kasse)</t>
  </si>
  <si>
    <t xml:space="preserve">Offene Forderungen (Debitoren)</t>
  </si>
  <si>
    <t xml:space="preserve">Kurzfristige Verbindlichkeiten</t>
  </si>
  <si>
    <t xml:space="preserve">  Liquidität 1. Grades</t>
  </si>
  <si>
    <t xml:space="preserve">  Debitorenlaufzeit (DSO, Tage)</t>
  </si>
  <si>
    <t xml:space="preserve">BILANZ  (optional – falls nicht verfügbar, leer lassen)</t>
  </si>
  <si>
    <t xml:space="preserve">Eigenkapital</t>
  </si>
  <si>
    <t xml:space="preserve">Bilanzsumme</t>
  </si>
  <si>
    <t xml:space="preserve">  Eigenkapitalquote</t>
  </si>
  <si>
    <t xml:space="preserve">Finanzverbindlichkeiten (Darlehen, Kontokorrent)</t>
  </si>
  <si>
    <t xml:space="preserve">Anlagevermögen (optional)</t>
  </si>
  <si>
    <t xml:space="preserve">5  Zielwerte für die Ampel</t>
  </si>
  <si>
    <t xml:space="preserve">Grün = Ziel erreicht · Gelb = bis 10 % verfehlt · Rot = mehr als 10 % verfehlt.</t>
  </si>
  <si>
    <t xml:space="preserve">Zielwert</t>
  </si>
  <si>
    <t xml:space="preserve">Richtung</t>
  </si>
  <si>
    <t xml:space="preserve">Hinweis</t>
  </si>
  <si>
    <t xml:space="preserve">Umsatzerlöse je Monat</t>
  </si>
  <si>
    <t xml:space="preserve">höher ist besser</t>
  </si>
  <si>
    <t xml:space="preserve">Ihr Monatsziel.</t>
  </si>
  <si>
    <t xml:space="preserve">EBT-Marge</t>
  </si>
  <si>
    <t xml:space="preserve">In Prozent, z. B. 6,0.</t>
  </si>
  <si>
    <t xml:space="preserve">Deckungsbeitragsquote</t>
  </si>
  <si>
    <t xml:space="preserve">In Prozent.</t>
  </si>
  <si>
    <t xml:space="preserve">Liquide Mittel (Mindestbestand)</t>
  </si>
  <si>
    <t xml:space="preserve">Unter welchen Betrag darf der Kontostand nicht fallen?</t>
  </si>
  <si>
    <t xml:space="preserve">Eigenkapitalquote</t>
  </si>
  <si>
    <t xml:space="preserve">In Prozent (optional).</t>
  </si>
  <si>
    <t xml:space="preserve">Debitorenlaufzeit (DSO)</t>
  </si>
  <si>
    <t xml:space="preserve">niedriger ist besser</t>
  </si>
  <si>
    <t xml:space="preserve">In Tagen.</t>
  </si>
  <si>
    <t xml:space="preserve">Auslastung</t>
  </si>
  <si>
    <t xml:space="preserve">Aktive Kunden / Objekte</t>
  </si>
  <si>
    <t xml:space="preserve">Neukunden je Monat</t>
  </si>
  <si>
    <t xml:space="preserve">Eigene Kennzahl 1</t>
  </si>
  <si>
    <t xml:space="preserve">Bezeichnung aus Blatt 3 übernehmen.</t>
  </si>
  <si>
    <t xml:space="preserve">Eigene Kennzahl 2</t>
  </si>
  <si>
    <t xml:space="preserve">Eigene Kennzahl 3</t>
  </si>
  <si>
    <t xml:space="preserve">Eigene Kennzahl 4</t>
  </si>
  <si>
    <t xml:space="preserve">6  Prüfung der Vollständigkeit</t>
  </si>
  <si>
    <t xml:space="preserve">Steht in Spalte B überall „OK“, kann die Datei zurückgesendet werden.</t>
  </si>
  <si>
    <t xml:space="preserve">Prüfpunkt</t>
  </si>
  <si>
    <t xml:space="preserve">Status</t>
  </si>
  <si>
    <t xml:space="preserve">Hinweis bei Fehler</t>
  </si>
  <si>
    <t xml:space="preserve">Stammdaten ausgefüllt</t>
  </si>
  <si>
    <t xml:space="preserve">Firmenname, Berichtsmonat und Leistungseinheit werden benötigt.</t>
  </si>
  <si>
    <t xml:space="preserve">Umsatzerlöse erfasst</t>
  </si>
  <si>
    <t xml:space="preserve">In Blatt 2 sind keine Erlöse eingetragen.</t>
  </si>
  <si>
    <t xml:space="preserve">Kosten erfasst</t>
  </si>
  <si>
    <t xml:space="preserve">Weder variable noch fixe Kosten eingetragen.</t>
  </si>
  <si>
    <t xml:space="preserve">Mengen erfasst</t>
  </si>
  <si>
    <t xml:space="preserve">Ohne Mengen sind Break-Even und Preis je Einheit nicht berechenbar.</t>
  </si>
  <si>
    <t xml:space="preserve">Liquide Mittel erfasst</t>
  </si>
  <si>
    <t xml:space="preserve">Für die Liquiditätsampel erforderlich.</t>
  </si>
  <si>
    <t xml:space="preserve">Zielwerte gesetzt</t>
  </si>
  <si>
    <t xml:space="preserve">Mindestens vier Zielwerte eintragen, sonst entfällt die Ampel.</t>
  </si>
  <si>
    <t xml:space="preserve">Plausibilität: Kosten kleiner als Erlöse?</t>
  </si>
  <si>
    <t xml:space="preserve">Variable Kosten übersteigen den Umsatz – meist ein Eingabefehler.</t>
  </si>
  <si>
    <t xml:space="preserve">Anzahl befüllter Monate</t>
  </si>
  <si>
    <t xml:space="preserve">Für Halbjahresvergleich werden mindestens sechs Monate benötigt.</t>
  </si>
  <si>
    <t xml:space="preserve">Wenn alles auf OK steht: Datei speichern und an Valtix zurücksenden.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</si>
</sst>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&quot; €&quot;"/>
    <numFmt numFmtId="166" formatCode="0.0\%"/>
    <numFmt numFmtId="167" formatCode="#,##0"/>
    <numFmt numFmtId="168" formatCode="#,##0.00"/>
    <numFmt numFmtId="169" formatCode="#,##0&quot; €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A44"/>
      <name val="Arial"/>
      <family val="0"/>
      <charset val="1"/>
    </font>
    <font>
      <sz val="11"/>
      <color rgb="FF6B7280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b val="true"/>
      <sz val="15"/>
      <color rgb="FF1F2A44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7D6"/>
        <bgColor rgb="FFFFFFFF"/>
      </patternFill>
    </fill>
    <fill>
      <patternFill patternType="solid">
        <fgColor rgb="FFEDF1F7"/>
        <bgColor rgb="FFE5F1E9"/>
      </patternFill>
    </fill>
    <fill>
      <patternFill patternType="solid">
        <fgColor rgb="FF1F2A44"/>
        <bgColor rgb="FF003366"/>
      </patternFill>
    </fill>
    <fill>
      <patternFill patternType="solid">
        <fgColor rgb="FFE4E9F2"/>
        <bgColor rgb="FFE5F1E9"/>
      </patternFill>
    </fill>
    <fill>
      <patternFill patternType="solid">
        <fgColor rgb="FFE5F1E9"/>
        <bgColor rgb="FFEDF1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E5F1E9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1F7"/>
      <rgbColor rgb="FFE4E9F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4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true" outlineLevel="0" collapsed="false">
      <c r="A5" s="3"/>
      <c r="B5" s="4"/>
    </row>
    <row r="6" customFormat="false" ht="15" hidden="false" customHeight="false" outlineLevel="0" collapsed="false">
      <c r="B6" s="5" t="s">
        <v>2</v>
      </c>
    </row>
    <row r="7" customFormat="false" ht="27.75" hidden="false" customHeight="true" outlineLevel="0" collapsed="false">
      <c r="A7" s="3" t="s">
        <v>3</v>
      </c>
      <c r="B7" s="4" t="s">
        <v>4</v>
      </c>
    </row>
    <row r="8" customFormat="false" ht="15" hidden="false" customHeight="true" outlineLevel="0" collapsed="false">
      <c r="A8" s="3" t="s">
        <v>5</v>
      </c>
      <c r="B8" s="4" t="s">
        <v>6</v>
      </c>
    </row>
    <row r="9" customFormat="false" ht="15" hidden="false" customHeight="true" outlineLevel="0" collapsed="false">
      <c r="A9" s="3" t="s">
        <v>7</v>
      </c>
      <c r="B9" s="4" t="s">
        <v>8</v>
      </c>
    </row>
    <row r="10" customFormat="false" ht="15" hidden="false" customHeight="true" outlineLevel="0" collapsed="false">
      <c r="A10" s="3" t="s">
        <v>9</v>
      </c>
      <c r="B10" s="4" t="s">
        <v>10</v>
      </c>
    </row>
    <row r="11" customFormat="false" ht="27.75" hidden="false" customHeight="true" outlineLevel="0" collapsed="false">
      <c r="A11" s="3" t="s">
        <v>11</v>
      </c>
      <c r="B11" s="4" t="s">
        <v>12</v>
      </c>
    </row>
    <row r="12" customFormat="false" ht="15" hidden="false" customHeight="true" outlineLevel="0" collapsed="false">
      <c r="A12" s="3" t="s">
        <v>13</v>
      </c>
      <c r="B12" s="4" t="s">
        <v>14</v>
      </c>
    </row>
    <row r="13" customFormat="false" ht="15" hidden="false" customHeight="true" outlineLevel="0" collapsed="false">
      <c r="A13" s="3"/>
      <c r="B13" s="4"/>
    </row>
    <row r="14" customFormat="false" ht="15" hidden="false" customHeight="false" outlineLevel="0" collapsed="false">
      <c r="B14" s="5" t="s">
        <v>15</v>
      </c>
    </row>
    <row r="15" customFormat="false" ht="15" hidden="false" customHeight="true" outlineLevel="0" collapsed="false">
      <c r="A15" s="6" t="s">
        <v>16</v>
      </c>
      <c r="B15" s="4" t="s">
        <v>17</v>
      </c>
    </row>
    <row r="16" customFormat="false" ht="15" hidden="false" customHeight="true" outlineLevel="0" collapsed="false">
      <c r="A16" s="7" t="s">
        <v>18</v>
      </c>
      <c r="B16" s="4" t="s">
        <v>19</v>
      </c>
    </row>
    <row r="17" customFormat="false" ht="15" hidden="false" customHeight="true" outlineLevel="0" collapsed="false">
      <c r="A17" s="3" t="s">
        <v>20</v>
      </c>
      <c r="B17" s="4" t="s">
        <v>21</v>
      </c>
    </row>
    <row r="18" customFormat="false" ht="15" hidden="false" customHeight="true" outlineLevel="0" collapsed="false">
      <c r="A18" s="3"/>
      <c r="B18" s="4"/>
    </row>
    <row r="19" customFormat="false" ht="15" hidden="false" customHeight="false" outlineLevel="0" collapsed="false">
      <c r="B19" s="5" t="s">
        <v>22</v>
      </c>
    </row>
    <row r="20" customFormat="false" ht="15" hidden="false" customHeight="true" outlineLevel="0" collapsed="false">
      <c r="A20" s="3" t="s">
        <v>23</v>
      </c>
      <c r="B20" s="4" t="s">
        <v>24</v>
      </c>
    </row>
    <row r="21" customFormat="false" ht="15" hidden="false" customHeight="true" outlineLevel="0" collapsed="false">
      <c r="A21" s="3" t="s">
        <v>23</v>
      </c>
      <c r="B21" s="4" t="s">
        <v>25</v>
      </c>
    </row>
    <row r="22" customFormat="false" ht="15" hidden="false" customHeight="true" outlineLevel="0" collapsed="false">
      <c r="A22" s="3" t="s">
        <v>23</v>
      </c>
      <c r="B22" s="4" t="s">
        <v>26</v>
      </c>
    </row>
    <row r="23" customFormat="false" ht="15" hidden="false" customHeight="true" outlineLevel="0" collapsed="false">
      <c r="A23" s="3" t="s">
        <v>23</v>
      </c>
      <c r="B23" s="4" t="s">
        <v>27</v>
      </c>
    </row>
    <row r="24" customFormat="false" ht="15" hidden="false" customHeight="true" outlineLevel="0" collapsed="false">
      <c r="A24" s="3" t="s">
        <v>23</v>
      </c>
      <c r="B24" s="4" t="s">
        <v>28</v>
      </c>
    </row>
    <row r="25" customFormat="false" ht="15" hidden="false" customHeight="true" outlineLevel="0" collapsed="false">
      <c r="A25" s="3" t="s">
        <v>23</v>
      </c>
      <c r="B25" s="4" t="s">
        <v>29</v>
      </c>
    </row>
    <row r="26" customFormat="false" ht="15" hidden="false" customHeight="true" outlineLevel="0" collapsed="false">
      <c r="A26" s="3"/>
      <c r="B26" s="4"/>
    </row>
    <row r="27" customFormat="false" ht="15" hidden="false" customHeight="false" outlineLevel="0" collapsed="false">
      <c r="B27" s="5" t="s">
        <v>30</v>
      </c>
    </row>
    <row r="28" customFormat="false" ht="27.75" hidden="false" customHeight="true" outlineLevel="0" collapsed="false">
      <c r="A28" s="3"/>
      <c r="B28" s="4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0"/>
    <col collapsed="false" customWidth="true" hidden="false" outlineLevel="0" max="3" min="3" style="0" width="52"/>
  </cols>
  <sheetData>
    <row r="1" customFormat="false" ht="18.55" hidden="false" customHeight="false" outlineLevel="0" collapsed="false">
      <c r="A1" s="8" t="s">
        <v>32</v>
      </c>
    </row>
    <row r="2" customFormat="false" ht="15" hidden="false" customHeight="false" outlineLevel="0" collapsed="false">
      <c r="A2" s="9" t="s">
        <v>33</v>
      </c>
    </row>
    <row r="4" customFormat="false" ht="15" hidden="false" customHeight="false" outlineLevel="0" collapsed="false">
      <c r="A4" s="10" t="s">
        <v>34</v>
      </c>
      <c r="B4" s="10" t="s">
        <v>35</v>
      </c>
      <c r="C4" s="10" t="s">
        <v>36</v>
      </c>
    </row>
    <row r="5" customFormat="false" ht="15" hidden="false" customHeight="false" outlineLevel="0" collapsed="false">
      <c r="A5" s="11" t="s">
        <v>37</v>
      </c>
      <c r="B5" s="12"/>
      <c r="C5" s="9" t="s">
        <v>38</v>
      </c>
    </row>
    <row r="6" customFormat="false" ht="15" hidden="false" customHeight="false" outlineLevel="0" collapsed="false">
      <c r="A6" s="11" t="s">
        <v>39</v>
      </c>
      <c r="B6" s="12"/>
      <c r="C6" s="9" t="s">
        <v>40</v>
      </c>
    </row>
    <row r="7" customFormat="false" ht="15" hidden="false" customHeight="false" outlineLevel="0" collapsed="false">
      <c r="A7" s="11" t="s">
        <v>41</v>
      </c>
      <c r="B7" s="12"/>
      <c r="C7" s="9" t="s">
        <v>42</v>
      </c>
    </row>
    <row r="8" customFormat="false" ht="15" hidden="false" customHeight="false" outlineLevel="0" collapsed="false">
      <c r="A8" s="11" t="s">
        <v>43</v>
      </c>
      <c r="B8" s="12"/>
      <c r="C8" s="9" t="s">
        <v>44</v>
      </c>
    </row>
    <row r="9" customFormat="false" ht="15" hidden="false" customHeight="false" outlineLevel="0" collapsed="false">
      <c r="A9" s="11" t="s">
        <v>45</v>
      </c>
      <c r="B9" s="12"/>
      <c r="C9" s="9" t="s">
        <v>46</v>
      </c>
    </row>
    <row r="10" customFormat="false" ht="15" hidden="false" customHeight="false" outlineLevel="0" collapsed="false">
      <c r="A10" s="11" t="s">
        <v>47</v>
      </c>
      <c r="B10" s="12"/>
      <c r="C10" s="9" t="s">
        <v>48</v>
      </c>
    </row>
    <row r="11" customFormat="false" ht="15" hidden="false" customHeight="false" outlineLevel="0" collapsed="false">
      <c r="A11" s="11" t="s">
        <v>49</v>
      </c>
      <c r="B11" s="12"/>
      <c r="C11" s="9" t="s">
        <v>50</v>
      </c>
    </row>
    <row r="13" customFormat="false" ht="15" hidden="false" customHeight="false" outlineLevel="0" collapsed="false">
      <c r="A13" s="5" t="s">
        <v>51</v>
      </c>
    </row>
    <row r="14" customFormat="false" ht="15" hidden="false" customHeight="false" outlineLevel="0" collapsed="false">
      <c r="A14" s="11" t="s">
        <v>52</v>
      </c>
      <c r="B14" s="12"/>
      <c r="C14" s="9" t="s">
        <v>53</v>
      </c>
    </row>
    <row r="15" customFormat="false" ht="15" hidden="false" customHeight="false" outlineLevel="0" collapsed="false">
      <c r="A15" s="11" t="s">
        <v>54</v>
      </c>
      <c r="B15" s="12"/>
      <c r="C15" s="9" t="s">
        <v>55</v>
      </c>
    </row>
    <row r="17" customFormat="false" ht="15" hidden="false" customHeight="false" outlineLevel="0" collapsed="false">
      <c r="A17" s="9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3" min="2" style="0" width="13"/>
  </cols>
  <sheetData>
    <row r="1" customFormat="false" ht="18.55" hidden="false" customHeight="false" outlineLevel="0" collapsed="false">
      <c r="A1" s="8" t="s">
        <v>57</v>
      </c>
    </row>
    <row r="2" customFormat="false" ht="15" hidden="false" customHeight="false" outlineLevel="0" collapsed="false">
      <c r="A2" s="9" t="s">
        <v>58</v>
      </c>
    </row>
    <row r="4" customFormat="false" ht="15" hidden="false" customHeight="false" outlineLevel="0" collapsed="false">
      <c r="A4" s="10" t="s">
        <v>59</v>
      </c>
      <c r="B4" s="13" t="s">
        <v>60</v>
      </c>
      <c r="C4" s="13" t="s">
        <v>61</v>
      </c>
      <c r="D4" s="13" t="s">
        <v>62</v>
      </c>
      <c r="E4" s="13" t="s">
        <v>63</v>
      </c>
      <c r="F4" s="13" t="s">
        <v>64</v>
      </c>
      <c r="G4" s="13" t="s">
        <v>65</v>
      </c>
      <c r="H4" s="13" t="s">
        <v>46</v>
      </c>
      <c r="I4" s="13" t="s">
        <v>66</v>
      </c>
      <c r="J4" s="13" t="s">
        <v>67</v>
      </c>
      <c r="K4" s="13" t="s">
        <v>68</v>
      </c>
      <c r="L4" s="13" t="s">
        <v>69</v>
      </c>
      <c r="M4" s="13" t="s">
        <v>70</v>
      </c>
    </row>
    <row r="5" customFormat="false" ht="15" hidden="false" customHeight="false" outlineLevel="0" collapsed="false">
      <c r="A5" s="14" t="s">
        <v>71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</row>
    <row r="6" customFormat="false" ht="15" hidden="false" customHeight="false" outlineLevel="0" collapsed="false">
      <c r="A6" s="11" t="s">
        <v>72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customFormat="false" ht="15" hidden="false" customHeight="false" outlineLevel="0" collapsed="false">
      <c r="A7" s="11" t="s">
        <v>73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8" customFormat="false" ht="15" hidden="false" customHeight="false" outlineLevel="0" collapsed="false">
      <c r="A8" s="11" t="s">
        <v>74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</row>
    <row r="9" customFormat="false" ht="15" hidden="false" customHeight="false" outlineLevel="0" collapsed="false">
      <c r="A9" s="11" t="s">
        <v>75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</row>
    <row r="10" customFormat="false" ht="15" hidden="false" customHeight="false" outlineLevel="0" collapsed="false">
      <c r="A10" s="7" t="s">
        <v>76</v>
      </c>
      <c r="B10" s="17" t="n">
        <f aca="false">SUM(B6:B9)</f>
        <v>0</v>
      </c>
      <c r="C10" s="17" t="n">
        <f aca="false">SUM(C6:C9)</f>
        <v>0</v>
      </c>
      <c r="D10" s="17" t="n">
        <f aca="false">SUM(D6:D9)</f>
        <v>0</v>
      </c>
      <c r="E10" s="17" t="n">
        <f aca="false">SUM(E6:E9)</f>
        <v>0</v>
      </c>
      <c r="F10" s="17" t="n">
        <f aca="false">SUM(F6:F9)</f>
        <v>0</v>
      </c>
      <c r="G10" s="17" t="n">
        <f aca="false">SUM(G6:G9)</f>
        <v>0</v>
      </c>
      <c r="H10" s="17" t="n">
        <f aca="false">SUM(H6:H9)</f>
        <v>0</v>
      </c>
      <c r="I10" s="17" t="n">
        <f aca="false">SUM(I6:I9)</f>
        <v>0</v>
      </c>
      <c r="J10" s="17" t="n">
        <f aca="false">SUM(J6:J9)</f>
        <v>0</v>
      </c>
      <c r="K10" s="17" t="n">
        <f aca="false">SUM(K6:K9)</f>
        <v>0</v>
      </c>
      <c r="L10" s="17" t="n">
        <f aca="false">SUM(L6:L9)</f>
        <v>0</v>
      </c>
      <c r="M10" s="17" t="n">
        <f aca="false">SUM(M6:M9)</f>
        <v>0</v>
      </c>
    </row>
    <row r="11" customFormat="false" ht="15" hidden="false" customHeight="false" outlineLevel="0" collapsed="false">
      <c r="A11" s="11" t="s">
        <v>77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customFormat="false" ht="15" hidden="false" customHeight="false" outlineLevel="0" collapsed="false">
      <c r="A12" s="7" t="s">
        <v>78</v>
      </c>
      <c r="B12" s="17" t="n">
        <f aca="false">B10+B11</f>
        <v>0</v>
      </c>
      <c r="C12" s="17" t="n">
        <f aca="false">C10+C11</f>
        <v>0</v>
      </c>
      <c r="D12" s="17" t="n">
        <f aca="false">D10+D11</f>
        <v>0</v>
      </c>
      <c r="E12" s="17" t="n">
        <f aca="false">E10+E11</f>
        <v>0</v>
      </c>
      <c r="F12" s="17" t="n">
        <f aca="false">F10+F11</f>
        <v>0</v>
      </c>
      <c r="G12" s="17" t="n">
        <f aca="false">G10+G11</f>
        <v>0</v>
      </c>
      <c r="H12" s="17" t="n">
        <f aca="false">H10+H11</f>
        <v>0</v>
      </c>
      <c r="I12" s="17" t="n">
        <f aca="false">I10+I11</f>
        <v>0</v>
      </c>
      <c r="J12" s="17" t="n">
        <f aca="false">J10+J11</f>
        <v>0</v>
      </c>
      <c r="K12" s="17" t="n">
        <f aca="false">K10+K11</f>
        <v>0</v>
      </c>
      <c r="L12" s="17" t="n">
        <f aca="false">L10+L11</f>
        <v>0</v>
      </c>
      <c r="M12" s="17" t="n">
        <f aca="false">M10+M11</f>
        <v>0</v>
      </c>
    </row>
    <row r="14" customFormat="false" ht="15" hidden="false" customHeight="false" outlineLevel="0" collapsed="false">
      <c r="A14" s="14" t="s">
        <v>79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customFormat="false" ht="15" hidden="false" customHeight="false" outlineLevel="0" collapsed="false">
      <c r="A15" s="11" t="s">
        <v>80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 customFormat="false" ht="15" hidden="false" customHeight="false" outlineLevel="0" collapsed="false">
      <c r="A16" s="11" t="s">
        <v>81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 customFormat="false" ht="15" hidden="false" customHeight="false" outlineLevel="0" collapsed="false">
      <c r="A17" s="11" t="s">
        <v>82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customFormat="false" ht="15" hidden="false" customHeight="false" outlineLevel="0" collapsed="false">
      <c r="A18" s="11" t="s">
        <v>83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customFormat="false" ht="15" hidden="false" customHeight="false" outlineLevel="0" collapsed="false">
      <c r="A19" s="11" t="s">
        <v>84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customFormat="false" ht="15" hidden="false" customHeight="false" outlineLevel="0" collapsed="false">
      <c r="A20" s="11" t="s">
        <v>85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customFormat="false" ht="15" hidden="false" customHeight="false" outlineLevel="0" collapsed="false">
      <c r="A21" s="11" t="s">
        <v>86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customFormat="false" ht="15" hidden="false" customHeight="false" outlineLevel="0" collapsed="false">
      <c r="A22" s="7" t="s">
        <v>87</v>
      </c>
      <c r="B22" s="17" t="n">
        <f aca="false">SUM(B15:B21)</f>
        <v>0</v>
      </c>
      <c r="C22" s="17" t="n">
        <f aca="false">SUM(C15:C21)</f>
        <v>0</v>
      </c>
      <c r="D22" s="17" t="n">
        <f aca="false">SUM(D15:D21)</f>
        <v>0</v>
      </c>
      <c r="E22" s="17" t="n">
        <f aca="false">SUM(E15:E21)</f>
        <v>0</v>
      </c>
      <c r="F22" s="17" t="n">
        <f aca="false">SUM(F15:F21)</f>
        <v>0</v>
      </c>
      <c r="G22" s="17" t="n">
        <f aca="false">SUM(G15:G21)</f>
        <v>0</v>
      </c>
      <c r="H22" s="17" t="n">
        <f aca="false">SUM(H15:H21)</f>
        <v>0</v>
      </c>
      <c r="I22" s="17" t="n">
        <f aca="false">SUM(I15:I21)</f>
        <v>0</v>
      </c>
      <c r="J22" s="17" t="n">
        <f aca="false">SUM(J15:J21)</f>
        <v>0</v>
      </c>
      <c r="K22" s="17" t="n">
        <f aca="false">SUM(K15:K21)</f>
        <v>0</v>
      </c>
      <c r="L22" s="17" t="n">
        <f aca="false">SUM(L15:L21)</f>
        <v>0</v>
      </c>
      <c r="M22" s="17" t="n">
        <f aca="false">SUM(M15:M21)</f>
        <v>0</v>
      </c>
    </row>
    <row r="23" customFormat="false" ht="15" hidden="false" customHeight="false" outlineLevel="0" collapsed="false">
      <c r="A23" s="7" t="s">
        <v>88</v>
      </c>
      <c r="B23" s="17" t="n">
        <f aca="false">B12-B22</f>
        <v>0</v>
      </c>
      <c r="C23" s="17" t="n">
        <f aca="false">C12-C22</f>
        <v>0</v>
      </c>
      <c r="D23" s="17" t="n">
        <f aca="false">D12-D22</f>
        <v>0</v>
      </c>
      <c r="E23" s="17" t="n">
        <f aca="false">E12-E22</f>
        <v>0</v>
      </c>
      <c r="F23" s="17" t="n">
        <f aca="false">F12-F22</f>
        <v>0</v>
      </c>
      <c r="G23" s="17" t="n">
        <f aca="false">G12-G22</f>
        <v>0</v>
      </c>
      <c r="H23" s="17" t="n">
        <f aca="false">H12-H22</f>
        <v>0</v>
      </c>
      <c r="I23" s="17" t="n">
        <f aca="false">I12-I22</f>
        <v>0</v>
      </c>
      <c r="J23" s="17" t="n">
        <f aca="false">J12-J22</f>
        <v>0</v>
      </c>
      <c r="K23" s="17" t="n">
        <f aca="false">K12-K22</f>
        <v>0</v>
      </c>
      <c r="L23" s="17" t="n">
        <f aca="false">L12-L22</f>
        <v>0</v>
      </c>
      <c r="M23" s="17" t="n">
        <f aca="false">M12-M22</f>
        <v>0</v>
      </c>
    </row>
    <row r="24" customFormat="false" ht="15" hidden="false" customHeight="false" outlineLevel="0" collapsed="false">
      <c r="A24" s="18" t="s">
        <v>89</v>
      </c>
      <c r="B24" s="19" t="str">
        <f aca="false">IFERROR(B23/B12*100,"")</f>
        <v/>
      </c>
      <c r="C24" s="19" t="str">
        <f aca="false">IFERROR(C23/C12*100,"")</f>
        <v/>
      </c>
      <c r="D24" s="19" t="str">
        <f aca="false">IFERROR(D23/D12*100,"")</f>
        <v/>
      </c>
      <c r="E24" s="19" t="str">
        <f aca="false">IFERROR(E23/E12*100,"")</f>
        <v/>
      </c>
      <c r="F24" s="19" t="str">
        <f aca="false">IFERROR(F23/F12*100,"")</f>
        <v/>
      </c>
      <c r="G24" s="19" t="str">
        <f aca="false">IFERROR(G23/G12*100,"")</f>
        <v/>
      </c>
      <c r="H24" s="19" t="str">
        <f aca="false">IFERROR(H23/H12*100,"")</f>
        <v/>
      </c>
      <c r="I24" s="19" t="str">
        <f aca="false">IFERROR(I23/I12*100,"")</f>
        <v/>
      </c>
      <c r="J24" s="19" t="str">
        <f aca="false">IFERROR(J23/J12*100,"")</f>
        <v/>
      </c>
      <c r="K24" s="19" t="str">
        <f aca="false">IFERROR(K23/K12*100,"")</f>
        <v/>
      </c>
      <c r="L24" s="19" t="str">
        <f aca="false">IFERROR(L23/L12*100,"")</f>
        <v/>
      </c>
      <c r="M24" s="19" t="str">
        <f aca="false">IFERROR(M23/M12*100,"")</f>
        <v/>
      </c>
    </row>
    <row r="26" customFormat="false" ht="15" hidden="false" customHeight="false" outlineLevel="0" collapsed="false">
      <c r="A26" s="14" t="s">
        <v>90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</row>
    <row r="27" customFormat="false" ht="15" hidden="false" customHeight="false" outlineLevel="0" collapsed="false">
      <c r="A27" s="11" t="s">
        <v>91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</row>
    <row r="28" customFormat="false" ht="15" hidden="false" customHeight="false" outlineLevel="0" collapsed="false">
      <c r="A28" s="11" t="s">
        <v>92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</row>
    <row r="29" customFormat="false" ht="15" hidden="false" customHeight="false" outlineLevel="0" collapsed="false">
      <c r="A29" s="11" t="s">
        <v>93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</row>
    <row r="30" customFormat="false" ht="15" hidden="false" customHeight="false" outlineLevel="0" collapsed="false">
      <c r="A30" s="11" t="s">
        <v>94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</row>
    <row r="31" customFormat="false" ht="15" hidden="false" customHeight="false" outlineLevel="0" collapsed="false">
      <c r="A31" s="11" t="s">
        <v>95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</row>
    <row r="32" customFormat="false" ht="15" hidden="false" customHeight="false" outlineLevel="0" collapsed="false">
      <c r="A32" s="11" t="s">
        <v>96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</row>
    <row r="33" customFormat="false" ht="15" hidden="false" customHeight="false" outlineLevel="0" collapsed="false">
      <c r="A33" s="11" t="s">
        <v>97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</row>
    <row r="34" customFormat="false" ht="15" hidden="false" customHeight="false" outlineLevel="0" collapsed="false">
      <c r="A34" s="11" t="s">
        <v>98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</row>
    <row r="35" customFormat="false" ht="15" hidden="false" customHeight="false" outlineLevel="0" collapsed="false">
      <c r="A35" s="11" t="s">
        <v>99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</row>
    <row r="36" customFormat="false" ht="15" hidden="false" customHeight="false" outlineLevel="0" collapsed="false">
      <c r="A36" s="11" t="s">
        <v>100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</row>
    <row r="37" customFormat="false" ht="15" hidden="false" customHeight="false" outlineLevel="0" collapsed="false">
      <c r="A37" s="7" t="s">
        <v>101</v>
      </c>
      <c r="B37" s="17" t="n">
        <f aca="false">SUM(B27:B36)</f>
        <v>0</v>
      </c>
      <c r="C37" s="17" t="n">
        <f aca="false">SUM(C27:C36)</f>
        <v>0</v>
      </c>
      <c r="D37" s="17" t="n">
        <f aca="false">SUM(D27:D36)</f>
        <v>0</v>
      </c>
      <c r="E37" s="17" t="n">
        <f aca="false">SUM(E27:E36)</f>
        <v>0</v>
      </c>
      <c r="F37" s="17" t="n">
        <f aca="false">SUM(F27:F36)</f>
        <v>0</v>
      </c>
      <c r="G37" s="17" t="n">
        <f aca="false">SUM(G27:G36)</f>
        <v>0</v>
      </c>
      <c r="H37" s="17" t="n">
        <f aca="false">SUM(H27:H36)</f>
        <v>0</v>
      </c>
      <c r="I37" s="17" t="n">
        <f aca="false">SUM(I27:I36)</f>
        <v>0</v>
      </c>
      <c r="J37" s="17" t="n">
        <f aca="false">SUM(J27:J36)</f>
        <v>0</v>
      </c>
      <c r="K37" s="17" t="n">
        <f aca="false">SUM(K27:K36)</f>
        <v>0</v>
      </c>
      <c r="L37" s="17" t="n">
        <f aca="false">SUM(L27:L36)</f>
        <v>0</v>
      </c>
      <c r="M37" s="17" t="n">
        <f aca="false">SUM(M27:M36)</f>
        <v>0</v>
      </c>
    </row>
    <row r="38" customFormat="false" ht="15" hidden="false" customHeight="false" outlineLevel="0" collapsed="false">
      <c r="A38" s="7" t="s">
        <v>102</v>
      </c>
      <c r="B38" s="17" t="n">
        <f aca="false">B23-B37</f>
        <v>0</v>
      </c>
      <c r="C38" s="17" t="n">
        <f aca="false">C23-C37</f>
        <v>0</v>
      </c>
      <c r="D38" s="17" t="n">
        <f aca="false">D23-D37</f>
        <v>0</v>
      </c>
      <c r="E38" s="17" t="n">
        <f aca="false">E23-E37</f>
        <v>0</v>
      </c>
      <c r="F38" s="17" t="n">
        <f aca="false">F23-F37</f>
        <v>0</v>
      </c>
      <c r="G38" s="17" t="n">
        <f aca="false">G23-G37</f>
        <v>0</v>
      </c>
      <c r="H38" s="17" t="n">
        <f aca="false">H23-H37</f>
        <v>0</v>
      </c>
      <c r="I38" s="17" t="n">
        <f aca="false">I23-I37</f>
        <v>0</v>
      </c>
      <c r="J38" s="17" t="n">
        <f aca="false">J23-J37</f>
        <v>0</v>
      </c>
      <c r="K38" s="17" t="n">
        <f aca="false">K23-K37</f>
        <v>0</v>
      </c>
      <c r="L38" s="17" t="n">
        <f aca="false">L23-L37</f>
        <v>0</v>
      </c>
      <c r="M38" s="17" t="n">
        <f aca="false">M23-M37</f>
        <v>0</v>
      </c>
    </row>
    <row r="40" customFormat="false" ht="15" hidden="false" customHeight="false" outlineLevel="0" collapsed="false">
      <c r="A40" s="14" t="s">
        <v>103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customFormat="false" ht="15" hidden="false" customHeight="false" outlineLevel="0" collapsed="false">
      <c r="A41" s="11" t="s">
        <v>104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</row>
    <row r="42" customFormat="false" ht="15" hidden="false" customHeight="false" outlineLevel="0" collapsed="false">
      <c r="A42" s="7" t="s">
        <v>105</v>
      </c>
      <c r="B42" s="17" t="n">
        <f aca="false">B38-B41</f>
        <v>0</v>
      </c>
      <c r="C42" s="17" t="n">
        <f aca="false">C38-C41</f>
        <v>0</v>
      </c>
      <c r="D42" s="17" t="n">
        <f aca="false">D38-D41</f>
        <v>0</v>
      </c>
      <c r="E42" s="17" t="n">
        <f aca="false">E38-E41</f>
        <v>0</v>
      </c>
      <c r="F42" s="17" t="n">
        <f aca="false">F38-F41</f>
        <v>0</v>
      </c>
      <c r="G42" s="17" t="n">
        <f aca="false">G38-G41</f>
        <v>0</v>
      </c>
      <c r="H42" s="17" t="n">
        <f aca="false">H38-H41</f>
        <v>0</v>
      </c>
      <c r="I42" s="17" t="n">
        <f aca="false">I38-I41</f>
        <v>0</v>
      </c>
      <c r="J42" s="17" t="n">
        <f aca="false">J38-J41</f>
        <v>0</v>
      </c>
      <c r="K42" s="17" t="n">
        <f aca="false">K38-K41</f>
        <v>0</v>
      </c>
      <c r="L42" s="17" t="n">
        <f aca="false">L38-L41</f>
        <v>0</v>
      </c>
      <c r="M42" s="17" t="n">
        <f aca="false">M38-M41</f>
        <v>0</v>
      </c>
    </row>
    <row r="43" customFormat="false" ht="15" hidden="false" customHeight="false" outlineLevel="0" collapsed="false">
      <c r="A43" s="11" t="s">
        <v>106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</row>
    <row r="44" customFormat="false" ht="15" hidden="false" customHeight="false" outlineLevel="0" collapsed="false">
      <c r="A44" s="11" t="s">
        <v>107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</row>
    <row r="45" customFormat="false" ht="15" hidden="false" customHeight="false" outlineLevel="0" collapsed="false">
      <c r="A45" s="7" t="s">
        <v>108</v>
      </c>
      <c r="B45" s="17" t="n">
        <f aca="false">B42-B43+B44</f>
        <v>0</v>
      </c>
      <c r="C45" s="17" t="n">
        <f aca="false">C42-C43+C44</f>
        <v>0</v>
      </c>
      <c r="D45" s="17" t="n">
        <f aca="false">D42-D43+D44</f>
        <v>0</v>
      </c>
      <c r="E45" s="17" t="n">
        <f aca="false">E42-E43+E44</f>
        <v>0</v>
      </c>
      <c r="F45" s="17" t="n">
        <f aca="false">F42-F43+F44</f>
        <v>0</v>
      </c>
      <c r="G45" s="17" t="n">
        <f aca="false">G42-G43+G44</f>
        <v>0</v>
      </c>
      <c r="H45" s="17" t="n">
        <f aca="false">H42-H43+H44</f>
        <v>0</v>
      </c>
      <c r="I45" s="17" t="n">
        <f aca="false">I42-I43+I44</f>
        <v>0</v>
      </c>
      <c r="J45" s="17" t="n">
        <f aca="false">J42-J43+J44</f>
        <v>0</v>
      </c>
      <c r="K45" s="17" t="n">
        <f aca="false">K42-K43+K44</f>
        <v>0</v>
      </c>
      <c r="L45" s="17" t="n">
        <f aca="false">L42-L43+L44</f>
        <v>0</v>
      </c>
      <c r="M45" s="17" t="n">
        <f aca="false">M42-M43+M44</f>
        <v>0</v>
      </c>
    </row>
    <row r="46" customFormat="false" ht="15" hidden="false" customHeight="false" outlineLevel="0" collapsed="false">
      <c r="A46" s="18" t="s">
        <v>109</v>
      </c>
      <c r="B46" s="19" t="str">
        <f aca="false">IFERROR(B45/B10*100,"")</f>
        <v/>
      </c>
      <c r="C46" s="19" t="str">
        <f aca="false">IFERROR(C45/C10*100,"")</f>
        <v/>
      </c>
      <c r="D46" s="19" t="str">
        <f aca="false">IFERROR(D45/D10*100,"")</f>
        <v/>
      </c>
      <c r="E46" s="19" t="str">
        <f aca="false">IFERROR(E45/E10*100,"")</f>
        <v/>
      </c>
      <c r="F46" s="19" t="str">
        <f aca="false">IFERROR(F45/F10*100,"")</f>
        <v/>
      </c>
      <c r="G46" s="19" t="str">
        <f aca="false">IFERROR(G45/G10*100,"")</f>
        <v/>
      </c>
      <c r="H46" s="19" t="str">
        <f aca="false">IFERROR(H45/H10*100,"")</f>
        <v/>
      </c>
      <c r="I46" s="19" t="str">
        <f aca="false">IFERROR(I45/I10*100,"")</f>
        <v/>
      </c>
      <c r="J46" s="19" t="str">
        <f aca="false">IFERROR(J45/J10*100,"")</f>
        <v/>
      </c>
      <c r="K46" s="19" t="str">
        <f aca="false">IFERROR(K45/K10*100,"")</f>
        <v/>
      </c>
      <c r="L46" s="19" t="str">
        <f aca="false">IFERROR(L45/L10*100,"")</f>
        <v/>
      </c>
      <c r="M46" s="19" t="str">
        <f aca="false">IFERROR(M45/M10*100,"")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3" min="2" style="0" width="13"/>
  </cols>
  <sheetData>
    <row r="1" customFormat="false" ht="18.55" hidden="false" customHeight="false" outlineLevel="0" collapsed="false">
      <c r="A1" s="8" t="s">
        <v>110</v>
      </c>
    </row>
    <row r="2" customFormat="false" ht="15" hidden="false" customHeight="false" outlineLevel="0" collapsed="false">
      <c r="A2" s="9" t="s">
        <v>111</v>
      </c>
    </row>
    <row r="4" customFormat="false" ht="15" hidden="false" customHeight="false" outlineLevel="0" collapsed="false">
      <c r="A4" s="10" t="s">
        <v>112</v>
      </c>
      <c r="B4" s="13" t="s">
        <v>60</v>
      </c>
      <c r="C4" s="13" t="s">
        <v>61</v>
      </c>
      <c r="D4" s="13" t="s">
        <v>62</v>
      </c>
      <c r="E4" s="13" t="s">
        <v>63</v>
      </c>
      <c r="F4" s="13" t="s">
        <v>64</v>
      </c>
      <c r="G4" s="13" t="s">
        <v>65</v>
      </c>
      <c r="H4" s="13" t="s">
        <v>46</v>
      </c>
      <c r="I4" s="13" t="s">
        <v>66</v>
      </c>
      <c r="J4" s="13" t="s">
        <v>67</v>
      </c>
      <c r="K4" s="13" t="s">
        <v>68</v>
      </c>
      <c r="L4" s="13" t="s">
        <v>69</v>
      </c>
      <c r="M4" s="13" t="s">
        <v>70</v>
      </c>
    </row>
    <row r="5" customFormat="false" ht="15" hidden="false" customHeight="false" outlineLevel="0" collapsed="false">
      <c r="A5" s="14" t="s">
        <v>113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</row>
    <row r="6" customFormat="false" ht="15" hidden="false" customHeight="false" outlineLevel="0" collapsed="false">
      <c r="A6" s="11" t="s">
        <v>114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</row>
    <row r="7" customFormat="false" ht="15" hidden="false" customHeight="false" outlineLevel="0" collapsed="false">
      <c r="A7" s="11" t="s">
        <v>115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</row>
    <row r="8" customFormat="false" ht="15" hidden="false" customHeight="false" outlineLevel="0" collapsed="false">
      <c r="A8" s="18" t="s">
        <v>116</v>
      </c>
      <c r="B8" s="19" t="str">
        <f aca="false">IFERROR(B6/B7*100,"")</f>
        <v/>
      </c>
      <c r="C8" s="19" t="str">
        <f aca="false">IFERROR(C6/C7*100,"")</f>
        <v/>
      </c>
      <c r="D8" s="19" t="str">
        <f aca="false">IFERROR(D6/D7*100,"")</f>
        <v/>
      </c>
      <c r="E8" s="19" t="str">
        <f aca="false">IFERROR(E6/E7*100,"")</f>
        <v/>
      </c>
      <c r="F8" s="19" t="str">
        <f aca="false">IFERROR(F6/F7*100,"")</f>
        <v/>
      </c>
      <c r="G8" s="19" t="str">
        <f aca="false">IFERROR(G6/G7*100,"")</f>
        <v/>
      </c>
      <c r="H8" s="19" t="str">
        <f aca="false">IFERROR(H6/H7*100,"")</f>
        <v/>
      </c>
      <c r="I8" s="19" t="str">
        <f aca="false">IFERROR(I6/I7*100,"")</f>
        <v/>
      </c>
      <c r="J8" s="19" t="str">
        <f aca="false">IFERROR(J6/J7*100,"")</f>
        <v/>
      </c>
      <c r="K8" s="19" t="str">
        <f aca="false">IFERROR(K6/K7*100,"")</f>
        <v/>
      </c>
      <c r="L8" s="19" t="str">
        <f aca="false">IFERROR(L6/L7*100,"")</f>
        <v/>
      </c>
      <c r="M8" s="19" t="str">
        <f aca="false">IFERROR(M6/M7*100,"")</f>
        <v/>
      </c>
    </row>
    <row r="9" customFormat="false" ht="15" hidden="false" customHeight="false" outlineLevel="0" collapsed="false">
      <c r="A9" s="18" t="s">
        <v>117</v>
      </c>
      <c r="B9" s="21" t="str">
        <f aca="false">IFERROR('2 GuV'!B10/B6,"")</f>
        <v/>
      </c>
      <c r="C9" s="21" t="str">
        <f aca="false">IFERROR('2 GuV'!C10/C6,"")</f>
        <v/>
      </c>
      <c r="D9" s="21" t="str">
        <f aca="false">IFERROR('2 GuV'!D10/D6,"")</f>
        <v/>
      </c>
      <c r="E9" s="21" t="str">
        <f aca="false">IFERROR('2 GuV'!E10/E6,"")</f>
        <v/>
      </c>
      <c r="F9" s="21" t="str">
        <f aca="false">IFERROR('2 GuV'!F10/F6,"")</f>
        <v/>
      </c>
      <c r="G9" s="21" t="str">
        <f aca="false">IFERROR('2 GuV'!G10/G6,"")</f>
        <v/>
      </c>
      <c r="H9" s="21" t="str">
        <f aca="false">IFERROR('2 GuV'!H10/H6,"")</f>
        <v/>
      </c>
      <c r="I9" s="21" t="str">
        <f aca="false">IFERROR('2 GuV'!I10/I6,"")</f>
        <v/>
      </c>
      <c r="J9" s="21" t="str">
        <f aca="false">IFERROR('2 GuV'!J10/J6,"")</f>
        <v/>
      </c>
      <c r="K9" s="21" t="str">
        <f aca="false">IFERROR('2 GuV'!K10/K6,"")</f>
        <v/>
      </c>
      <c r="L9" s="21" t="str">
        <f aca="false">IFERROR('2 GuV'!L10/L6,"")</f>
        <v/>
      </c>
      <c r="M9" s="21" t="str">
        <f aca="false">IFERROR('2 GuV'!M10/M6,"")</f>
        <v/>
      </c>
    </row>
    <row r="10" customFormat="false" ht="15" hidden="false" customHeight="false" outlineLevel="0" collapsed="false">
      <c r="A10" s="18" t="s">
        <v>118</v>
      </c>
      <c r="B10" s="21" t="str">
        <f aca="false">IFERROR('2 GuV'!B23/B6,"")</f>
        <v/>
      </c>
      <c r="C10" s="21" t="str">
        <f aca="false">IFERROR('2 GuV'!C23/C6,"")</f>
        <v/>
      </c>
      <c r="D10" s="21" t="str">
        <f aca="false">IFERROR('2 GuV'!D23/D6,"")</f>
        <v/>
      </c>
      <c r="E10" s="21" t="str">
        <f aca="false">IFERROR('2 GuV'!E23/E6,"")</f>
        <v/>
      </c>
      <c r="F10" s="21" t="str">
        <f aca="false">IFERROR('2 GuV'!F23/F6,"")</f>
        <v/>
      </c>
      <c r="G10" s="21" t="str">
        <f aca="false">IFERROR('2 GuV'!G23/G6,"")</f>
        <v/>
      </c>
      <c r="H10" s="21" t="str">
        <f aca="false">IFERROR('2 GuV'!H23/H6,"")</f>
        <v/>
      </c>
      <c r="I10" s="21" t="str">
        <f aca="false">IFERROR('2 GuV'!I23/I6,"")</f>
        <v/>
      </c>
      <c r="J10" s="21" t="str">
        <f aca="false">IFERROR('2 GuV'!J23/J6,"")</f>
        <v/>
      </c>
      <c r="K10" s="21" t="str">
        <f aca="false">IFERROR('2 GuV'!K23/K6,"")</f>
        <v/>
      </c>
      <c r="L10" s="21" t="str">
        <f aca="false">IFERROR('2 GuV'!L23/L6,"")</f>
        <v/>
      </c>
      <c r="M10" s="21" t="str">
        <f aca="false">IFERROR('2 GuV'!M23/M6,"")</f>
        <v/>
      </c>
    </row>
    <row r="12" customFormat="false" ht="15" hidden="false" customHeight="false" outlineLevel="0" collapsed="false">
      <c r="A12" s="14" t="s">
        <v>119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customFormat="false" ht="15" hidden="false" customHeight="false" outlineLevel="0" collapsed="false">
      <c r="A13" s="11" t="s">
        <v>120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</row>
    <row r="14" customFormat="false" ht="15" hidden="false" customHeight="false" outlineLevel="0" collapsed="false">
      <c r="A14" s="11" t="s">
        <v>121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</row>
    <row r="15" customFormat="false" ht="15" hidden="false" customHeight="false" outlineLevel="0" collapsed="false">
      <c r="A15" s="11" t="s">
        <v>122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6" customFormat="false" ht="15" hidden="false" customHeight="false" outlineLevel="0" collapsed="false">
      <c r="A16" s="18" t="s">
        <v>123</v>
      </c>
      <c r="B16" s="19" t="str">
        <f aca="false">IFERROR(B6/B15*100,"")</f>
        <v/>
      </c>
      <c r="C16" s="19" t="str">
        <f aca="false">IFERROR(C6/C15*100,"")</f>
        <v/>
      </c>
      <c r="D16" s="19" t="str">
        <f aca="false">IFERROR(D6/D15*100,"")</f>
        <v/>
      </c>
      <c r="E16" s="19" t="str">
        <f aca="false">IFERROR(E6/E15*100,"")</f>
        <v/>
      </c>
      <c r="F16" s="19" t="str">
        <f aca="false">IFERROR(F6/F15*100,"")</f>
        <v/>
      </c>
      <c r="G16" s="19" t="str">
        <f aca="false">IFERROR(G6/G15*100,"")</f>
        <v/>
      </c>
      <c r="H16" s="19" t="str">
        <f aca="false">IFERROR(H6/H15*100,"")</f>
        <v/>
      </c>
      <c r="I16" s="19" t="str">
        <f aca="false">IFERROR(I6/I15*100,"")</f>
        <v/>
      </c>
      <c r="J16" s="19" t="str">
        <f aca="false">IFERROR(J6/J15*100,"")</f>
        <v/>
      </c>
      <c r="K16" s="19" t="str">
        <f aca="false">IFERROR(K6/K15*100,"")</f>
        <v/>
      </c>
      <c r="L16" s="19" t="str">
        <f aca="false">IFERROR(L6/L15*100,"")</f>
        <v/>
      </c>
      <c r="M16" s="19" t="str">
        <f aca="false">IFERROR(M6/M15*100,"")</f>
        <v/>
      </c>
    </row>
    <row r="17" customFormat="false" ht="15" hidden="false" customHeight="false" outlineLevel="0" collapsed="false">
      <c r="A17" s="11" t="s">
        <v>124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customFormat="false" ht="15" hidden="false" customHeight="false" outlineLevel="0" collapsed="false">
      <c r="A18" s="11" t="s">
        <v>125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</row>
    <row r="20" customFormat="false" ht="15" hidden="false" customHeight="false" outlineLevel="0" collapsed="false">
      <c r="A20" s="14" t="s">
        <v>126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customFormat="false" ht="15" hidden="false" customHeight="false" outlineLevel="0" collapsed="false">
      <c r="A21" s="11" t="s">
        <v>127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</row>
    <row r="22" customFormat="false" ht="15" hidden="false" customHeight="false" outlineLevel="0" collapsed="false">
      <c r="A22" s="11" t="s">
        <v>128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</row>
    <row r="23" customFormat="false" ht="15" hidden="false" customHeight="false" outlineLevel="0" collapsed="false">
      <c r="A23" s="11" t="s">
        <v>129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</row>
    <row r="24" customFormat="false" ht="15" hidden="false" customHeight="false" outlineLevel="0" collapsed="false">
      <c r="A24" s="11" t="s">
        <v>130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</row>
    <row r="26" customFormat="false" ht="15" hidden="false" customHeight="false" outlineLevel="0" collapsed="false">
      <c r="A26" s="14" t="s">
        <v>131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</row>
    <row r="27" customFormat="false" ht="15" hidden="false" customHeight="false" outlineLevel="0" collapsed="false">
      <c r="A27" s="12" t="s">
        <v>132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customFormat="false" ht="15" hidden="false" customHeight="false" outlineLevel="0" collapsed="false">
      <c r="A28" s="12" t="s">
        <v>133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customFormat="false" ht="15" hidden="false" customHeight="false" outlineLevel="0" collapsed="false">
      <c r="A29" s="12" t="s">
        <v>134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customFormat="false" ht="15" hidden="false" customHeight="false" outlineLevel="0" collapsed="false">
      <c r="A30" s="12" t="s">
        <v>135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3" min="2" style="0" width="13"/>
  </cols>
  <sheetData>
    <row r="1" customFormat="false" ht="18.55" hidden="false" customHeight="false" outlineLevel="0" collapsed="false">
      <c r="A1" s="8" t="s">
        <v>136</v>
      </c>
    </row>
    <row r="2" customFormat="false" ht="15" hidden="false" customHeight="false" outlineLevel="0" collapsed="false">
      <c r="A2" s="9" t="s">
        <v>137</v>
      </c>
    </row>
    <row r="4" customFormat="false" ht="15" hidden="false" customHeight="false" outlineLevel="0" collapsed="false">
      <c r="A4" s="10" t="s">
        <v>59</v>
      </c>
      <c r="B4" s="13" t="s">
        <v>60</v>
      </c>
      <c r="C4" s="13" t="s">
        <v>61</v>
      </c>
      <c r="D4" s="13" t="s">
        <v>62</v>
      </c>
      <c r="E4" s="13" t="s">
        <v>63</v>
      </c>
      <c r="F4" s="13" t="s">
        <v>64</v>
      </c>
      <c r="G4" s="13" t="s">
        <v>65</v>
      </c>
      <c r="H4" s="13" t="s">
        <v>46</v>
      </c>
      <c r="I4" s="13" t="s">
        <v>66</v>
      </c>
      <c r="J4" s="13" t="s">
        <v>67</v>
      </c>
      <c r="K4" s="13" t="s">
        <v>68</v>
      </c>
      <c r="L4" s="13" t="s">
        <v>69</v>
      </c>
      <c r="M4" s="13" t="s">
        <v>70</v>
      </c>
    </row>
    <row r="5" customFormat="false" ht="15" hidden="false" customHeight="false" outlineLevel="0" collapsed="false">
      <c r="A5" s="14" t="s">
        <v>138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</row>
    <row r="6" customFormat="false" ht="15" hidden="false" customHeight="false" outlineLevel="0" collapsed="false">
      <c r="A6" s="11" t="s">
        <v>139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customFormat="false" ht="15" hidden="false" customHeight="false" outlineLevel="0" collapsed="false">
      <c r="A7" s="11" t="s">
        <v>140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8" customFormat="false" ht="15" hidden="false" customHeight="false" outlineLevel="0" collapsed="false">
      <c r="A8" s="11" t="s">
        <v>141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</row>
    <row r="9" customFormat="false" ht="15" hidden="false" customHeight="false" outlineLevel="0" collapsed="false">
      <c r="A9" s="18" t="s">
        <v>142</v>
      </c>
      <c r="B9" s="19" t="str">
        <f aca="false">IFERROR(B6/B8*100,"")</f>
        <v/>
      </c>
      <c r="C9" s="19" t="str">
        <f aca="false">IFERROR(C6/C8*100,"")</f>
        <v/>
      </c>
      <c r="D9" s="19" t="str">
        <f aca="false">IFERROR(D6/D8*100,"")</f>
        <v/>
      </c>
      <c r="E9" s="19" t="str">
        <f aca="false">IFERROR(E6/E8*100,"")</f>
        <v/>
      </c>
      <c r="F9" s="19" t="str">
        <f aca="false">IFERROR(F6/F8*100,"")</f>
        <v/>
      </c>
      <c r="G9" s="19" t="str">
        <f aca="false">IFERROR(G6/G8*100,"")</f>
        <v/>
      </c>
      <c r="H9" s="19" t="str">
        <f aca="false">IFERROR(H6/H8*100,"")</f>
        <v/>
      </c>
      <c r="I9" s="19" t="str">
        <f aca="false">IFERROR(I6/I8*100,"")</f>
        <v/>
      </c>
      <c r="J9" s="19" t="str">
        <f aca="false">IFERROR(J6/J8*100,"")</f>
        <v/>
      </c>
      <c r="K9" s="19" t="str">
        <f aca="false">IFERROR(K6/K8*100,"")</f>
        <v/>
      </c>
      <c r="L9" s="19" t="str">
        <f aca="false">IFERROR(L6/L8*100,"")</f>
        <v/>
      </c>
      <c r="M9" s="19" t="str">
        <f aca="false">IFERROR(M6/M8*100,"")</f>
        <v/>
      </c>
    </row>
    <row r="10" customFormat="false" ht="15" hidden="false" customHeight="false" outlineLevel="0" collapsed="false">
      <c r="A10" s="18" t="s">
        <v>143</v>
      </c>
      <c r="B10" s="25" t="str">
        <f aca="false">IFERROR(B7/'2 GuV'!B10*30,"")</f>
        <v/>
      </c>
      <c r="C10" s="25" t="str">
        <f aca="false">IFERROR(C7/'2 GuV'!C10*30,"")</f>
        <v/>
      </c>
      <c r="D10" s="25" t="str">
        <f aca="false">IFERROR(D7/'2 GuV'!D10*30,"")</f>
        <v/>
      </c>
      <c r="E10" s="25" t="str">
        <f aca="false">IFERROR(E7/'2 GuV'!E10*30,"")</f>
        <v/>
      </c>
      <c r="F10" s="25" t="str">
        <f aca="false">IFERROR(F7/'2 GuV'!F10*30,"")</f>
        <v/>
      </c>
      <c r="G10" s="25" t="str">
        <f aca="false">IFERROR(G7/'2 GuV'!G10*30,"")</f>
        <v/>
      </c>
      <c r="H10" s="25" t="str">
        <f aca="false">IFERROR(H7/'2 GuV'!H10*30,"")</f>
        <v/>
      </c>
      <c r="I10" s="25" t="str">
        <f aca="false">IFERROR(I7/'2 GuV'!I10*30,"")</f>
        <v/>
      </c>
      <c r="J10" s="25" t="str">
        <f aca="false">IFERROR(J7/'2 GuV'!J10*30,"")</f>
        <v/>
      </c>
      <c r="K10" s="25" t="str">
        <f aca="false">IFERROR(K7/'2 GuV'!K10*30,"")</f>
        <v/>
      </c>
      <c r="L10" s="25" t="str">
        <f aca="false">IFERROR(L7/'2 GuV'!L10*30,"")</f>
        <v/>
      </c>
      <c r="M10" s="25" t="str">
        <f aca="false">IFERROR(M7/'2 GuV'!M10*30,"")</f>
        <v/>
      </c>
    </row>
    <row r="12" customFormat="false" ht="15" hidden="false" customHeight="false" outlineLevel="0" collapsed="false">
      <c r="A12" s="14" t="s">
        <v>144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customFormat="false" ht="15" hidden="false" customHeight="false" outlineLevel="0" collapsed="false">
      <c r="A13" s="11" t="s">
        <v>145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</row>
    <row r="14" customFormat="false" ht="15" hidden="false" customHeight="false" outlineLevel="0" collapsed="false">
      <c r="A14" s="11" t="s">
        <v>146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</row>
    <row r="15" customFormat="false" ht="15" hidden="false" customHeight="false" outlineLevel="0" collapsed="false">
      <c r="A15" s="18" t="s">
        <v>147</v>
      </c>
      <c r="B15" s="19" t="str">
        <f aca="false">IFERROR(B13/B14*100,"")</f>
        <v/>
      </c>
      <c r="C15" s="19" t="str">
        <f aca="false">IFERROR(C13/C14*100,"")</f>
        <v/>
      </c>
      <c r="D15" s="19" t="str">
        <f aca="false">IFERROR(D13/D14*100,"")</f>
        <v/>
      </c>
      <c r="E15" s="19" t="str">
        <f aca="false">IFERROR(E13/E14*100,"")</f>
        <v/>
      </c>
      <c r="F15" s="19" t="str">
        <f aca="false">IFERROR(F13/F14*100,"")</f>
        <v/>
      </c>
      <c r="G15" s="19" t="str">
        <f aca="false">IFERROR(G13/G14*100,"")</f>
        <v/>
      </c>
      <c r="H15" s="19" t="str">
        <f aca="false">IFERROR(H13/H14*100,"")</f>
        <v/>
      </c>
      <c r="I15" s="19" t="str">
        <f aca="false">IFERROR(I13/I14*100,"")</f>
        <v/>
      </c>
      <c r="J15" s="19" t="str">
        <f aca="false">IFERROR(J13/J14*100,"")</f>
        <v/>
      </c>
      <c r="K15" s="19" t="str">
        <f aca="false">IFERROR(K13/K14*100,"")</f>
        <v/>
      </c>
      <c r="L15" s="19" t="str">
        <f aca="false">IFERROR(L13/L14*100,"")</f>
        <v/>
      </c>
      <c r="M15" s="19" t="str">
        <f aca="false">IFERROR(M13/M14*100,"")</f>
        <v/>
      </c>
    </row>
    <row r="16" customFormat="false" ht="15" hidden="false" customHeight="false" outlineLevel="0" collapsed="false">
      <c r="A16" s="11" t="s">
        <v>148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 customFormat="false" ht="15" hidden="false" customHeight="false" outlineLevel="0" collapsed="false">
      <c r="A17" s="11" t="s">
        <v>149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52"/>
  </cols>
  <sheetData>
    <row r="1" customFormat="false" ht="18.55" hidden="false" customHeight="false" outlineLevel="0" collapsed="false">
      <c r="A1" s="8" t="s">
        <v>150</v>
      </c>
    </row>
    <row r="2" customFormat="false" ht="15" hidden="false" customHeight="false" outlineLevel="0" collapsed="false">
      <c r="A2" s="9" t="s">
        <v>151</v>
      </c>
    </row>
    <row r="4" customFormat="false" ht="15" hidden="false" customHeight="false" outlineLevel="0" collapsed="false">
      <c r="A4" s="10" t="s">
        <v>112</v>
      </c>
      <c r="B4" s="10" t="s">
        <v>152</v>
      </c>
      <c r="C4" s="10" t="s">
        <v>153</v>
      </c>
      <c r="D4" s="10" t="s">
        <v>154</v>
      </c>
    </row>
    <row r="5" customFormat="false" ht="15" hidden="false" customHeight="false" outlineLevel="0" collapsed="false">
      <c r="A5" s="11" t="s">
        <v>155</v>
      </c>
      <c r="B5" s="16"/>
      <c r="C5" s="12" t="s">
        <v>156</v>
      </c>
      <c r="D5" s="26" t="s">
        <v>157</v>
      </c>
    </row>
    <row r="6" customFormat="false" ht="15" hidden="false" customHeight="false" outlineLevel="0" collapsed="false">
      <c r="A6" s="11" t="s">
        <v>158</v>
      </c>
      <c r="B6" s="23"/>
      <c r="C6" s="12" t="s">
        <v>156</v>
      </c>
      <c r="D6" s="26" t="s">
        <v>159</v>
      </c>
    </row>
    <row r="7" customFormat="false" ht="15" hidden="false" customHeight="false" outlineLevel="0" collapsed="false">
      <c r="A7" s="11" t="s">
        <v>160</v>
      </c>
      <c r="B7" s="23"/>
      <c r="C7" s="12" t="s">
        <v>156</v>
      </c>
      <c r="D7" s="26" t="s">
        <v>161</v>
      </c>
    </row>
    <row r="8" customFormat="false" ht="15" hidden="false" customHeight="false" outlineLevel="0" collapsed="false">
      <c r="A8" s="11" t="s">
        <v>162</v>
      </c>
      <c r="B8" s="16"/>
      <c r="C8" s="12" t="s">
        <v>156</v>
      </c>
      <c r="D8" s="26" t="s">
        <v>163</v>
      </c>
    </row>
    <row r="9" customFormat="false" ht="15" hidden="false" customHeight="false" outlineLevel="0" collapsed="false">
      <c r="A9" s="11" t="s">
        <v>164</v>
      </c>
      <c r="B9" s="23"/>
      <c r="C9" s="12" t="s">
        <v>156</v>
      </c>
      <c r="D9" s="26" t="s">
        <v>165</v>
      </c>
    </row>
    <row r="10" customFormat="false" ht="15" hidden="false" customHeight="false" outlineLevel="0" collapsed="false">
      <c r="A10" s="11" t="s">
        <v>166</v>
      </c>
      <c r="B10" s="20"/>
      <c r="C10" s="12" t="s">
        <v>167</v>
      </c>
      <c r="D10" s="26" t="s">
        <v>168</v>
      </c>
    </row>
    <row r="11" customFormat="false" ht="15" hidden="false" customHeight="false" outlineLevel="0" collapsed="false">
      <c r="A11" s="11" t="s">
        <v>169</v>
      </c>
      <c r="B11" s="23"/>
      <c r="C11" s="12" t="s">
        <v>156</v>
      </c>
      <c r="D11" s="26" t="s">
        <v>165</v>
      </c>
    </row>
    <row r="12" customFormat="false" ht="15" hidden="false" customHeight="false" outlineLevel="0" collapsed="false">
      <c r="A12" s="11" t="s">
        <v>170</v>
      </c>
      <c r="B12" s="20"/>
      <c r="C12" s="12" t="s">
        <v>156</v>
      </c>
      <c r="D12" s="26"/>
    </row>
    <row r="13" customFormat="false" ht="15" hidden="false" customHeight="false" outlineLevel="0" collapsed="false">
      <c r="A13" s="11" t="s">
        <v>171</v>
      </c>
      <c r="B13" s="20"/>
      <c r="C13" s="12" t="s">
        <v>156</v>
      </c>
      <c r="D13" s="26"/>
    </row>
    <row r="14" customFormat="false" ht="15" hidden="false" customHeight="false" outlineLevel="0" collapsed="false">
      <c r="A14" s="11" t="s">
        <v>172</v>
      </c>
      <c r="B14" s="22"/>
      <c r="C14" s="12"/>
      <c r="D14" s="26" t="s">
        <v>173</v>
      </c>
    </row>
    <row r="15" customFormat="false" ht="15" hidden="false" customHeight="false" outlineLevel="0" collapsed="false">
      <c r="A15" s="11" t="s">
        <v>174</v>
      </c>
      <c r="B15" s="22"/>
      <c r="C15" s="12"/>
      <c r="D15" s="26"/>
    </row>
    <row r="16" customFormat="false" ht="15" hidden="false" customHeight="false" outlineLevel="0" collapsed="false">
      <c r="A16" s="11" t="s">
        <v>175</v>
      </c>
      <c r="B16" s="22"/>
      <c r="C16" s="12"/>
      <c r="D16" s="26"/>
    </row>
    <row r="17" customFormat="false" ht="15" hidden="false" customHeight="false" outlineLevel="0" collapsed="false">
      <c r="A17" s="11" t="s">
        <v>176</v>
      </c>
      <c r="B17" s="22"/>
      <c r="C17" s="12"/>
      <c r="D17" s="26"/>
    </row>
  </sheetData>
  <dataValidations count="1">
    <dataValidation allowBlank="true" errorStyle="stop" operator="between" showDropDown="false" showErrorMessage="false" showInputMessage="false" sqref="C5:C17" type="list">
      <formula1>"höher ist besser,niedriger ist besser"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8.55" hidden="false" customHeight="false" outlineLevel="0" collapsed="false">
      <c r="A1" s="8" t="s">
        <v>177</v>
      </c>
    </row>
    <row r="2" customFormat="false" ht="15" hidden="false" customHeight="false" outlineLevel="0" collapsed="false">
      <c r="A2" s="9" t="s">
        <v>178</v>
      </c>
    </row>
    <row r="4" customFormat="false" ht="15" hidden="false" customHeight="false" outlineLevel="0" collapsed="false">
      <c r="A4" s="10" t="s">
        <v>179</v>
      </c>
      <c r="B4" s="10" t="s">
        <v>180</v>
      </c>
      <c r="C4" s="10" t="s">
        <v>181</v>
      </c>
    </row>
    <row r="5" customFormat="false" ht="15" hidden="false" customHeight="false" outlineLevel="0" collapsed="false">
      <c r="A5" s="11" t="s">
        <v>182</v>
      </c>
      <c r="B5" s="27" t="str">
        <f aca="false">IF(COUNTA('1 Stammdaten'!B5:B15)&gt;=8,"OK","unvollständig")</f>
        <v>unvollständig</v>
      </c>
      <c r="C5" s="26" t="s">
        <v>183</v>
      </c>
    </row>
    <row r="6" customFormat="false" ht="15" hidden="false" customHeight="false" outlineLevel="0" collapsed="false">
      <c r="A6" s="11" t="s">
        <v>184</v>
      </c>
      <c r="B6" s="27" t="str">
        <f aca="false">IF(SUM('2 GuV'!B10:M10)&gt;0,"OK","fehlt")</f>
        <v>fehlt</v>
      </c>
      <c r="C6" s="26" t="s">
        <v>185</v>
      </c>
    </row>
    <row r="7" customFormat="false" ht="15" hidden="false" customHeight="false" outlineLevel="0" collapsed="false">
      <c r="A7" s="11" t="s">
        <v>186</v>
      </c>
      <c r="B7" s="27" t="str">
        <f aca="false">IF(SUM('2 GuV'!B37:M37)+SUM('2 GuV'!B22:M22)&gt;0,"OK","fehlt")</f>
        <v>fehlt</v>
      </c>
      <c r="C7" s="26" t="s">
        <v>187</v>
      </c>
    </row>
    <row r="8" customFormat="false" ht="15" hidden="false" customHeight="false" outlineLevel="0" collapsed="false">
      <c r="A8" s="11" t="s">
        <v>188</v>
      </c>
      <c r="B8" s="27" t="str">
        <f aca="false">IF(SUM('3 Mengen &amp; Operativ'!B6:M6)&gt;0,"OK","fehlt")</f>
        <v>fehlt</v>
      </c>
      <c r="C8" s="26" t="s">
        <v>189</v>
      </c>
    </row>
    <row r="9" customFormat="false" ht="15" hidden="false" customHeight="false" outlineLevel="0" collapsed="false">
      <c r="A9" s="11" t="s">
        <v>190</v>
      </c>
      <c r="B9" s="27" t="str">
        <f aca="false">IF(COUNT('4 Liquidität &amp; Bilanz'!B6:M6)&gt;0,"OK","fehlt")</f>
        <v>fehlt</v>
      </c>
      <c r="C9" s="26" t="s">
        <v>191</v>
      </c>
    </row>
    <row r="10" customFormat="false" ht="15" hidden="false" customHeight="false" outlineLevel="0" collapsed="false">
      <c r="A10" s="11" t="s">
        <v>192</v>
      </c>
      <c r="B10" s="27" t="str">
        <f aca="false">IF(COUNT('5 Zielwerte'!B5:B17)&gt;=4,"OK","unvollständig")</f>
        <v>unvollständig</v>
      </c>
      <c r="C10" s="26" t="s">
        <v>193</v>
      </c>
    </row>
    <row r="11" customFormat="false" ht="15" hidden="false" customHeight="false" outlineLevel="0" collapsed="false">
      <c r="A11" s="11" t="s">
        <v>194</v>
      </c>
      <c r="B11" s="27" t="str">
        <f aca="false">IF(SUM('2 GuV'!B10:M10)&gt;SUM('2 GuV'!B22:M22),"OK","bitte prüfen")</f>
        <v>bitte prüfen</v>
      </c>
      <c r="C11" s="26" t="s">
        <v>195</v>
      </c>
    </row>
    <row r="12" customFormat="false" ht="15" hidden="false" customHeight="false" outlineLevel="0" collapsed="false">
      <c r="A12" s="11" t="s">
        <v>196</v>
      </c>
      <c r="B12" s="27" t="str">
        <f aca="false">COUNT('2 GuV'!B6:M6)&amp;" Monat(e) erfasst"</f>
        <v>0 Monat(e) erfasst</v>
      </c>
      <c r="C12" s="26" t="s">
        <v>197</v>
      </c>
    </row>
    <row r="14" customFormat="false" ht="15" hidden="false" customHeight="false" outlineLevel="0" collapsed="false">
      <c r="A14" s="5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2026-08-25T13:07:36Z</dcterms:created>
  <dc:creator>openpyxl</dc:creator>
  <dc:description/>
  <dc:language>en-US</dc:language>
  <cp:lastModifiedBy/>
  <dcterms:modified xsi:type="dcterms:W3CDTF">2026-08-25T13:07:36Z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
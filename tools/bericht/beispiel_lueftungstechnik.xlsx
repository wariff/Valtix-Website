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0 Anleitung" sheetId="1" state="visible" r:id="rId1"/>
    <sheet xmlns:r="http://schemas.openxmlformats.org/officeDocument/2006/relationships" name="1 Stammdaten" sheetId="2" state="visible" r:id="rId2"/>
    <sheet xmlns:r="http://schemas.openxmlformats.org/officeDocument/2006/relationships" name="2 GuV" sheetId="3" state="visible" r:id="rId3"/>
    <sheet xmlns:r="http://schemas.openxmlformats.org/officeDocument/2006/relationships" name="3 Mengen &amp; Operativ" sheetId="4" state="visible" r:id="rId4"/>
    <sheet xmlns:r="http://schemas.openxmlformats.org/officeDocument/2006/relationships" name="4 Liquidität &amp; Bilanz" sheetId="5" state="visible" r:id="rId5"/>
    <sheet xmlns:r="http://schemas.openxmlformats.org/officeDocument/2006/relationships" name="5 Zielwerte" sheetId="6" state="visible" r:id="rId6"/>
    <sheet xmlns:r="http://schemas.openxmlformats.org/officeDocument/2006/relationships" name="6 Prüfung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.00&quot; €&quot;"/>
    <numFmt numFmtId="165" formatCode="0.0\%"/>
    <numFmt numFmtId="166" formatCode="#,##0&quot; €&quot;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2A44"/>
      <sz val="18"/>
    </font>
    <font>
      <name val="Arial"/>
      <charset val="1"/>
      <family val="0"/>
      <color rgb="FF6B7280"/>
      <sz val="11"/>
    </font>
    <font>
      <name val="Arial"/>
      <charset val="1"/>
      <family val="0"/>
      <b val="1"/>
      <color rgb="FF1F2A44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F2A44"/>
      <sz val="11"/>
    </font>
    <font>
      <name val="Arial"/>
      <charset val="1"/>
      <family val="0"/>
      <b val="1"/>
      <color rgb="FF1F2A44"/>
      <sz val="15"/>
    </font>
    <font>
      <name val="Arial"/>
      <charset val="1"/>
      <family val="0"/>
      <i val="1"/>
      <color rgb="FF6B7280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FF"/>
      <sz val="10"/>
    </font>
    <font>
      <name val="Arial"/>
      <family val="2"/>
      <sz val="10"/>
    </font>
    <font>
      <name val="Arial"/>
      <charset val="1"/>
      <family val="0"/>
      <b val="1"/>
      <sz val="10"/>
    </font>
  </fonts>
  <fills count="7">
    <fill>
      <patternFill/>
    </fill>
    <fill>
      <patternFill patternType="gray125"/>
    </fill>
    <fill>
      <patternFill patternType="solid">
        <fgColor rgb="FFFFF7D6"/>
        <bgColor rgb="FFFFFFFF"/>
      </patternFill>
    </fill>
    <fill>
      <patternFill patternType="solid">
        <fgColor rgb="FFEDF1F7"/>
        <bgColor rgb="FFE5F1E9"/>
      </patternFill>
    </fill>
    <fill>
      <patternFill patternType="solid">
        <fgColor rgb="FF1F2A44"/>
        <bgColor rgb="FF003366"/>
      </patternFill>
    </fill>
    <fill>
      <patternFill patternType="solid">
        <fgColor rgb="FFE4E9F2"/>
        <bgColor rgb="FFE5F1E9"/>
      </patternFill>
    </fill>
    <fill>
      <patternFill patternType="solid">
        <fgColor rgb="FFE5F1E9"/>
        <bgColor rgb="FFEDF1F7"/>
      </patternFill>
    </fill>
  </fills>
  <borders count="2">
    <border>
      <left/>
      <right/>
      <top/>
      <bottom/>
      <diagonal/>
    </border>
    <border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4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12" fillId="2" borderId="1" applyAlignment="1" pivotButton="0" quotePrefix="0" xfId="0">
      <alignment horizontal="general" vertical="bottom"/>
    </xf>
    <xf numFmtId="0" fontId="11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164" fontId="12" fillId="2" borderId="1" applyAlignment="1" pivotButton="0" quotePrefix="0" xfId="0">
      <alignment horizontal="general" vertical="bottom"/>
    </xf>
    <xf numFmtId="164" fontId="14" fillId="3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165" fontId="7" fillId="3" borderId="1" applyAlignment="1" pivotButton="0" quotePrefix="0" xfId="0">
      <alignment horizontal="general" vertical="bottom"/>
    </xf>
    <xf numFmtId="3" fontId="12" fillId="2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4" fontId="12" fillId="2" borderId="1" applyAlignment="1" pivotButton="0" quotePrefix="0" xfId="0">
      <alignment horizontal="general" vertical="bottom"/>
    </xf>
    <xf numFmtId="165" fontId="12" fillId="2" borderId="1" applyAlignment="1" pivotButton="0" quotePrefix="0" xfId="0">
      <alignment horizontal="general" vertical="bottom"/>
    </xf>
    <xf numFmtId="166" fontId="12" fillId="2" borderId="1" applyAlignment="1" pivotButton="0" quotePrefix="0" xfId="0">
      <alignment horizontal="general" vertical="bottom"/>
    </xf>
    <xf numFmtId="3" fontId="7" fillId="3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0" fontId="14" fillId="6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4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12" fillId="2" borderId="1" applyAlignment="1" pivotButton="0" quotePrefix="0" xfId="0">
      <alignment horizontal="general" vertical="bottom"/>
    </xf>
    <xf numFmtId="0" fontId="11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164" fontId="12" fillId="2" borderId="1" applyAlignment="1" pivotButton="0" quotePrefix="0" xfId="0">
      <alignment horizontal="general" vertical="bottom"/>
    </xf>
    <xf numFmtId="164" fontId="14" fillId="3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165" fontId="7" fillId="3" borderId="1" applyAlignment="1" pivotButton="0" quotePrefix="0" xfId="0">
      <alignment horizontal="general" vertical="bottom"/>
    </xf>
    <xf numFmtId="3" fontId="12" fillId="2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4" fontId="12" fillId="2" borderId="1" applyAlignment="1" pivotButton="0" quotePrefix="0" xfId="0">
      <alignment horizontal="general" vertical="bottom"/>
    </xf>
    <xf numFmtId="165" fontId="12" fillId="2" borderId="1" applyAlignment="1" pivotButton="0" quotePrefix="0" xfId="0">
      <alignment horizontal="general" vertical="bottom"/>
    </xf>
    <xf numFmtId="166" fontId="12" fillId="2" borderId="1" applyAlignment="1" pivotButton="0" quotePrefix="0" xfId="0">
      <alignment horizontal="general" vertical="bottom"/>
    </xf>
    <xf numFmtId="3" fontId="7" fillId="3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0" fontId="14" fillId="6" borderId="1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6"/>
      <rgbColor rgb="FFE5F1E9"/>
      <rgbColor rgb="FF660066"/>
      <rgbColor rgb="FFFF8080"/>
      <rgbColor rgb="FF0066CC"/>
      <rgbColor rgb="FFC9CE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1F7"/>
      <rgbColor rgb="FFE4E9F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Unknown Author</author>
  </authors>
  <commentList>
    <comment ref="A9" authorId="0" shapeId="0">
      <text>
        <t>Der Monat, für den das Cockpit erstellt wird. Alle Vormonate desselben Jahres bitte ebenfalls ausfüllen.</t>
      </text>
    </comment>
    <comment ref="A14" authorId="0" shapeId="0">
      <text>
        <t>Die Einheit, in der Sie Ihre Leistung zählen. Sie ist Bezugsgröße für Break-Even und Preis je Einheit.</t>
      </text>
    </comment>
    <comment ref="A15" authorId="0" shapeId="0">
      <text>
        <t>Wird in Tabellen und Diagrammen verwendet.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A6" authorId="0" shapeId="0">
      <text>
        <t>Ihr Kerngeschäft – z. B. Speisen/Getränke, Reinigungsleistung, Beratungshonorar.</t>
      </text>
    </comment>
    <comment ref="A7" authorId="0" shapeId="0">
      <text>
        <t>z. B. Trocknen, Glasreinigung, Lieferung.</t>
      </text>
    </comment>
    <comment ref="A11" authorId="0" shapeId="0">
      <text>
        <t>z. B. Erstattungen, Anlagenverkauf, Zuschüsse.</t>
      </text>
    </comment>
    <comment ref="A15" authorId="0" shapeId="0">
      <text>
        <t>Rohstoffe, Handelsware, Verbrauchsmaterial.</t>
      </text>
    </comment>
    <comment ref="A17" authorId="0" shapeId="0">
      <text>
        <t>Nur wenn Löhne direkt mit der Menge schwanken – z. B. Reinigungskräfte je Objektstunde. Sonst unter Fixkosten eintragen.</t>
      </text>
    </comment>
    <comment ref="A18" authorId="0" shapeId="0">
      <text>
        <t>z. B. Strom/Wasser je Maschinengang.</t>
      </text>
    </comment>
    <comment ref="A19" authorId="0" shapeId="0">
      <text>
        <t>z. B. Lieferdienste, Buchungsportale.</t>
      </text>
    </comment>
    <comment ref="A27" authorId="0" shapeId="0">
      <text>
        <t>Alle Löhne und Gehälter inkl. Sozialabgaben, die nicht oben als leistungsabhängig erfasst wurden.</t>
      </text>
    </comment>
    <comment ref="A30" authorId="0" shapeId="0">
      <text>
        <t>Leasing, Versicherung, Steuer, Wartung.</t>
      </text>
    </comment>
    <comment ref="A41" authorId="0" shapeId="0">
      <text>
        <t>Monatswert. Bei Jahresbetrag: durch 12 teilen.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A6" authorId="0" shapeId="0">
      <text>
        <t>Zahl der abgerechneten Einheiten im Monat – z. B. Bons, Waschgänge, verrechnete Stunden.</t>
      </text>
    </comment>
    <comment ref="A7" authorId="0" shapeId="0">
      <text>
        <t>Was maximal möglich wäre. Daraus errechnen wir die Auslastung.</t>
      </text>
    </comment>
    <comment ref="A14" authorId="0" shapeId="0">
      <text>
        <t>Teilzeit anteilig – z. B. zwei Halbtagskräfte = 1,0 VZÄ.</t>
      </text>
    </comment>
    <comment ref="A23" authorId="0" shapeId="0">
      <text>
        <t>Wert der gesicherten, noch nicht abgearbeiteten Aufträge.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A8" authorId="0" shapeId="0">
      <text>
        <t>Lieferanten, Steuern, Löhne, Kontokorrent.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B2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28" min="1" max="1"/>
    <col width="104" customWidth="1" style="28" min="2" max="2"/>
  </cols>
  <sheetData>
    <row r="2" ht="22.05" customHeight="1" s="29">
      <c r="B2" s="30" t="inlineStr">
        <is>
          <t>Valtix Basismodell – Eingabevorlage</t>
        </is>
      </c>
    </row>
    <row r="3" ht="15" customHeight="1" s="29">
      <c r="B3" s="31" t="inlineStr">
        <is>
          <t>Bitte nur die gelb hinterlegten Felder ausfüllen und die Datei anschließend zurücksenden.</t>
        </is>
      </c>
    </row>
    <row r="5" ht="15" customHeight="1" s="29">
      <c r="A5" s="32" t="n"/>
      <c r="B5" s="33" t="n"/>
    </row>
    <row r="6" ht="15" customHeight="1" s="29">
      <c r="B6" s="34" t="inlineStr">
        <is>
          <t>SO GEHEN SIE VOR</t>
        </is>
      </c>
    </row>
    <row r="7" ht="27.75" customHeight="1" s="29">
      <c r="A7" s="32" t="inlineStr">
        <is>
          <t>1.</t>
        </is>
      </c>
      <c r="B7" s="33" t="inlineStr">
        <is>
          <t>Blatt „1 Stammdaten“ ausfüllen – dort legen Sie unter anderem fest, wie Ihre Leistungseinheit heißt (z. B. Bon, Waschgang, Beratertag, Monteurstunde).</t>
        </is>
      </c>
    </row>
    <row r="8" ht="15" customHeight="1" s="29">
      <c r="A8" s="32" t="inlineStr">
        <is>
          <t>2.</t>
        </is>
      </c>
      <c r="B8" s="33" t="inlineStr">
        <is>
          <t>Blatt „2 GuV“ – Erlöse und Kosten je Monat eintragen. Alle Beträge netto, ohne Umsatzsteuer.</t>
        </is>
      </c>
    </row>
    <row r="9" ht="15" customHeight="1" s="29">
      <c r="A9" s="32" t="inlineStr">
        <is>
          <t>3.</t>
        </is>
      </c>
      <c r="B9" s="33" t="inlineStr">
        <is>
          <t>Blatt „3 Mengen &amp; Operativ“ – Stückzahlen, Mitarbeitende und Ihre operativen Kennzahlen.</t>
        </is>
      </c>
    </row>
    <row r="10" ht="15" customHeight="1" s="29">
      <c r="A10" s="32" t="inlineStr">
        <is>
          <t>4.</t>
        </is>
      </c>
      <c r="B10" s="33" t="inlineStr">
        <is>
          <t>Blatt „4 Liquidität &amp; Bilanz“ – Kontostand, Forderungen und Eigenkapital je Monatsende.</t>
        </is>
      </c>
    </row>
    <row r="11" ht="27.75" customHeight="1" s="29">
      <c r="A11" s="32" t="inlineStr">
        <is>
          <t>5.</t>
        </is>
      </c>
      <c r="B11" s="33" t="inlineStr">
        <is>
          <t>Blatt „5 Zielwerte“ – welche Werte gelten für Sie als Ziel? Daraus entsteht die Ampel im Bericht.</t>
        </is>
      </c>
    </row>
    <row r="12" ht="15" customHeight="1" s="29">
      <c r="A12" s="32" t="inlineStr">
        <is>
          <t>6.</t>
        </is>
      </c>
      <c r="B12" s="33" t="inlineStr">
        <is>
          <t>Blatt „6 Prüfung“ öffnen: Steht dort überall „OK“, ist die Datei vollständig.</t>
        </is>
      </c>
    </row>
    <row r="13" ht="15" customHeight="1" s="29">
      <c r="A13" s="32" t="n"/>
      <c r="B13" s="33" t="n"/>
    </row>
    <row r="14" ht="15" customHeight="1" s="29">
      <c r="B14" s="34" t="inlineStr">
        <is>
          <t>FARBLEGENDE</t>
        </is>
      </c>
    </row>
    <row r="15" ht="15" customHeight="1" s="29">
      <c r="A15" s="35" t="inlineStr">
        <is>
          <t>Gelb</t>
        </is>
      </c>
      <c r="B15" s="33" t="inlineStr">
        <is>
          <t>Eingabefeld – hier tragen Sie Ihre Werte ein (blaue Schrift).</t>
        </is>
      </c>
    </row>
    <row r="16" ht="15" customHeight="1" s="29">
      <c r="A16" s="36" t="inlineStr">
        <is>
          <t>Grau-blau</t>
        </is>
      </c>
      <c r="B16" s="33" t="inlineStr">
        <is>
          <t>Wird automatisch berechnet – bitte nicht überschreiben.</t>
        </is>
      </c>
    </row>
    <row r="17" ht="15" customHeight="1" s="29">
      <c r="A17" s="32" t="inlineStr">
        <is>
          <t>Weiß</t>
        </is>
      </c>
      <c r="B17" s="33" t="inlineStr">
        <is>
          <t>Beschriftung.</t>
        </is>
      </c>
    </row>
    <row r="18" ht="15" customHeight="1" s="29">
      <c r="A18" s="32" t="n"/>
      <c r="B18" s="33" t="n"/>
    </row>
    <row r="19" ht="15" customHeight="1" s="29">
      <c r="B19" s="34" t="inlineStr">
        <is>
          <t>WICHTIGE HINWEISE</t>
        </is>
      </c>
    </row>
    <row r="20" ht="15" customHeight="1" s="29">
      <c r="A20" s="32" t="inlineStr">
        <is>
          <t>•</t>
        </is>
      </c>
      <c r="B20" s="33" t="inlineStr">
        <is>
          <t>Alle Beträge bitte als positive Zahl eintragen – auch Kosten. Die Vorzeichen setzen wir.</t>
        </is>
      </c>
    </row>
    <row r="21" ht="15" customHeight="1" s="29">
      <c r="A21" s="32" t="inlineStr">
        <is>
          <t>•</t>
        </is>
      </c>
      <c r="B21" s="33" t="inlineStr">
        <is>
          <t>Alle Beträge netto (ohne Umsatzsteuer).</t>
        </is>
      </c>
    </row>
    <row r="22" ht="15" customHeight="1" s="29">
      <c r="A22" s="32" t="inlineStr">
        <is>
          <t>•</t>
        </is>
      </c>
      <c r="B22" s="33" t="inlineStr">
        <is>
          <t>Monate, für die noch keine Zahlen vorliegen, einfach leer lassen.</t>
        </is>
      </c>
    </row>
    <row r="23" ht="15" customHeight="1" s="29">
      <c r="A23" s="32" t="inlineStr">
        <is>
          <t>•</t>
        </is>
      </c>
      <c r="B23" s="33" t="inlineStr">
        <is>
          <t>Nicht zutreffende Positionen leer lassen – nicht löschen, damit die Struktur erhalten bleibt.</t>
        </is>
      </c>
    </row>
    <row r="24" ht="15" customHeight="1" s="29">
      <c r="A24" s="32" t="inlineStr">
        <is>
          <t>•</t>
        </is>
      </c>
      <c r="B24" s="33" t="inlineStr">
        <is>
          <t>Zeilen mit „(optional)“ können entfallen; der Bericht wird dann ohne diese Kennzahl erstellt.</t>
        </is>
      </c>
    </row>
    <row r="25" ht="15" customHeight="1" s="29">
      <c r="A25" s="32" t="inlineStr">
        <is>
          <t>•</t>
        </is>
      </c>
      <c r="B25" s="33" t="inlineStr">
        <is>
          <t>Bei Fragen zu einer Position: mit der Maus über die Beschriftung fahren – dort stehen Hinweise.</t>
        </is>
      </c>
    </row>
    <row r="26" ht="15" customHeight="1" s="29">
      <c r="A26" s="32" t="n"/>
      <c r="B26" s="33" t="n"/>
    </row>
    <row r="27" ht="15" customHeight="1" s="29">
      <c r="B27" s="34" t="inlineStr">
        <is>
          <t>WAS SIE ZURÜCKBEKOMMEN</t>
        </is>
      </c>
    </row>
    <row r="28" ht="27.75" customHeight="1" s="29">
      <c r="A28" s="32" t="n"/>
      <c r="B28" s="33" t="inlineStr">
        <is>
          <t>Das monatliche Management-Cockpit: Dashboard mit Ergebnisbrücke, Kostenanalyse, Vormonats- und Halbjahresvergleich, KPI-Ampel, Break-Even-Rechnung und Maßnahmenkatalog.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28" min="1" max="1"/>
    <col width="40" customWidth="1" style="28" min="2" max="2"/>
    <col width="52" customWidth="1" style="28" min="3" max="3"/>
  </cols>
  <sheetData>
    <row r="1" ht="18.55" customHeight="1" s="29">
      <c r="A1" s="37" t="inlineStr">
        <is>
          <t>1  Stammdaten</t>
        </is>
      </c>
    </row>
    <row r="2" ht="15" customHeight="1" s="29">
      <c r="A2" s="38" t="inlineStr">
        <is>
          <t>Grundangaben zum Unternehmen und zur Berichtsperiode.</t>
        </is>
      </c>
    </row>
    <row r="4" ht="15" customHeight="1" s="29">
      <c r="A4" s="39" t="inlineStr">
        <is>
          <t>Angabe</t>
        </is>
      </c>
      <c r="B4" s="39" t="inlineStr">
        <is>
          <t>Ihre Eingabe</t>
        </is>
      </c>
      <c r="C4" s="39" t="inlineStr">
        <is>
          <t>Beispiel / Hinweis</t>
        </is>
      </c>
    </row>
    <row r="5" ht="15" customHeight="1" s="29">
      <c r="A5" s="40" t="inlineStr">
        <is>
          <t>Firmenname</t>
        </is>
      </c>
      <c r="B5" s="41" t="inlineStr">
        <is>
          <t>Lüftungstechnik GmbH</t>
        </is>
      </c>
      <c r="C5" s="38" t="inlineStr">
        <is>
          <t>Muster Dienstleistungs GmbH</t>
        </is>
      </c>
    </row>
    <row r="6" ht="15" customHeight="1" s="29">
      <c r="A6" s="40" t="inlineStr">
        <is>
          <t>Rechtsform</t>
        </is>
      </c>
      <c r="B6" s="41" t="inlineStr">
        <is>
          <t>GmbH</t>
        </is>
      </c>
      <c r="C6" s="38" t="inlineStr">
        <is>
          <t>GmbH / e. K. / GbR / UG</t>
        </is>
      </c>
    </row>
    <row r="7" ht="15" customHeight="1" s="29">
      <c r="A7" s="40" t="inlineStr">
        <is>
          <t>Branche / Tätigkeit</t>
        </is>
      </c>
      <c r="B7" s="41" t="inlineStr">
        <is>
          <t>Lüftungs- und Klimatechnik</t>
        </is>
      </c>
      <c r="C7" s="38" t="inlineStr">
        <is>
          <t>Gebäudereinigung, Gastronomie, Handwerk …</t>
        </is>
      </c>
    </row>
    <row r="8" ht="15" customHeight="1" s="29">
      <c r="A8" s="40" t="inlineStr">
        <is>
          <t>Berichtsjahr</t>
        </is>
      </c>
      <c r="B8" s="41" t="n">
        <v>2026</v>
      </c>
      <c r="C8" s="38" t="inlineStr">
        <is>
          <t>2026</t>
        </is>
      </c>
    </row>
    <row r="9" ht="15" customHeight="1" s="29">
      <c r="A9" s="40" t="inlineStr">
        <is>
          <t>Berichtsmonat (aktueller Monat)</t>
        </is>
      </c>
      <c r="B9" s="41" t="inlineStr">
        <is>
          <t>Juli</t>
        </is>
      </c>
      <c r="C9" s="38" t="inlineStr">
        <is>
          <t>Juli</t>
        </is>
      </c>
    </row>
    <row r="10" ht="15" customHeight="1" s="29">
      <c r="A10" s="40" t="inlineStr">
        <is>
          <t>Ansprechpartner</t>
        </is>
      </c>
      <c r="B10" s="41" t="inlineStr">
        <is>
          <t>Sharif Ibrahim</t>
        </is>
      </c>
      <c r="C10" s="38" t="inlineStr">
        <is>
          <t>Vorname Nachname</t>
        </is>
      </c>
    </row>
    <row r="11" ht="15" customHeight="1" s="29">
      <c r="A11" s="40" t="inlineStr">
        <is>
          <t>E-Mail für Rückfragen</t>
        </is>
      </c>
      <c r="B11" s="41" t="inlineStr">
        <is>
          <t>info@valtixfm.de</t>
        </is>
      </c>
      <c r="C11" s="38" t="inlineStr">
        <is>
          <t>name@firma.de</t>
        </is>
      </c>
    </row>
    <row r="13" ht="15" customHeight="1" s="29">
      <c r="A13" s="34" t="inlineStr">
        <is>
          <t>Leistungseinheit</t>
        </is>
      </c>
    </row>
    <row r="14" ht="15" customHeight="1" s="29">
      <c r="A14" s="40" t="inlineStr">
        <is>
          <t>Bezeichnung Ihrer Leistungseinheit</t>
        </is>
      </c>
      <c r="B14" s="41" t="inlineStr">
        <is>
          <t>Monteurstunde</t>
        </is>
      </c>
      <c r="C14" s="38" t="inlineStr">
        <is>
          <t>Bon / Waschgang / Beratertag / Monteurstunde</t>
        </is>
      </c>
    </row>
    <row r="15" ht="15" customHeight="1" s="29">
      <c r="A15" s="40" t="inlineStr">
        <is>
          <t>Bezeichnung im Plural</t>
        </is>
      </c>
      <c r="B15" s="41" t="inlineStr">
        <is>
          <t>Monteurstunden</t>
        </is>
      </c>
      <c r="C15" s="38" t="inlineStr">
        <is>
          <t>Bons / Waschgänge / Beratertage</t>
        </is>
      </c>
    </row>
    <row r="17" ht="15" customHeight="1" s="29">
      <c r="A17" s="38" t="inlineStr">
        <is>
          <t>Hinweis: Alle Beträge in dieser Datei netto (ohne Umsatzsteuer) und als positive Zahl eintragen.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M4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46" customWidth="1" style="28" min="1" max="1"/>
    <col width="13" customWidth="1" style="28" min="2" max="13"/>
  </cols>
  <sheetData>
    <row r="1" ht="18.55" customHeight="1" s="29">
      <c r="A1" s="37" t="inlineStr">
        <is>
          <t>2  Gewinn- und Verlustrechnung</t>
        </is>
      </c>
    </row>
    <row r="2" ht="15" customHeight="1" s="29">
      <c r="A2" s="38" t="inlineStr">
        <is>
          <t>Alle Beträge netto und als positive Zahl. Nicht zutreffende Zeilen leer lassen.</t>
        </is>
      </c>
    </row>
    <row r="4" ht="15" customHeight="1" s="29">
      <c r="A4" s="39" t="inlineStr">
        <is>
          <t>Position</t>
        </is>
      </c>
      <c r="B4" s="42" t="inlineStr">
        <is>
          <t>Januar</t>
        </is>
      </c>
      <c r="C4" s="42" t="inlineStr">
        <is>
          <t>Februar</t>
        </is>
      </c>
      <c r="D4" s="42" t="inlineStr">
        <is>
          <t>März</t>
        </is>
      </c>
      <c r="E4" s="42" t="inlineStr">
        <is>
          <t>April</t>
        </is>
      </c>
      <c r="F4" s="42" t="inlineStr">
        <is>
          <t>Mai</t>
        </is>
      </c>
      <c r="G4" s="42" t="inlineStr">
        <is>
          <t>Juni</t>
        </is>
      </c>
      <c r="H4" s="42" t="inlineStr">
        <is>
          <t>Juli</t>
        </is>
      </c>
      <c r="I4" s="42" t="inlineStr">
        <is>
          <t>August</t>
        </is>
      </c>
      <c r="J4" s="42" t="inlineStr">
        <is>
          <t>September</t>
        </is>
      </c>
      <c r="K4" s="42" t="inlineStr">
        <is>
          <t>Oktober</t>
        </is>
      </c>
      <c r="L4" s="42" t="inlineStr">
        <is>
          <t>November</t>
        </is>
      </c>
      <c r="M4" s="42" t="inlineStr">
        <is>
          <t>Dezember</t>
        </is>
      </c>
    </row>
    <row r="5" ht="15" customHeight="1" s="29">
      <c r="A5" s="43" t="inlineStr">
        <is>
          <t>ERLÖSE</t>
        </is>
      </c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</row>
    <row r="6" ht="15" customHeight="1" s="29">
      <c r="A6" s="40" t="inlineStr">
        <is>
          <t>Erlöse Hauptleistung</t>
        </is>
      </c>
      <c r="B6" s="45" t="n">
        <v>167031.88</v>
      </c>
      <c r="C6" s="45" t="n">
        <v>172323.75</v>
      </c>
      <c r="D6" s="45" t="n">
        <v>188940</v>
      </c>
      <c r="E6" s="45" t="n">
        <v>187228.75</v>
      </c>
      <c r="F6" s="45" t="n">
        <v>193617.5</v>
      </c>
      <c r="G6" s="45" t="n">
        <v>208632.6</v>
      </c>
      <c r="H6" s="45" t="n">
        <v>228196.36</v>
      </c>
      <c r="I6" s="45" t="n"/>
      <c r="J6" s="45" t="n"/>
      <c r="K6" s="45" t="n"/>
      <c r="L6" s="45" t="n"/>
      <c r="M6" s="45" t="n"/>
    </row>
    <row r="7" ht="15" customHeight="1" s="29">
      <c r="A7" s="40" t="inlineStr">
        <is>
          <t>Erlöse Nebenleistung 1 (optional)</t>
        </is>
      </c>
      <c r="B7" s="45" t="n"/>
      <c r="C7" s="45" t="n"/>
      <c r="D7" s="45" t="n"/>
      <c r="E7" s="45" t="n"/>
      <c r="F7" s="45" t="n"/>
      <c r="G7" s="45" t="n"/>
      <c r="H7" s="45" t="n"/>
      <c r="I7" s="45" t="n"/>
      <c r="J7" s="45" t="n"/>
      <c r="K7" s="45" t="n"/>
      <c r="L7" s="45" t="n"/>
      <c r="M7" s="45" t="n"/>
    </row>
    <row r="8" ht="15" customHeight="1" s="29">
      <c r="A8" s="40" t="inlineStr">
        <is>
          <t>Erlöse Nebenleistung 2 (optional)</t>
        </is>
      </c>
      <c r="B8" s="45" t="n"/>
      <c r="C8" s="45" t="n"/>
      <c r="D8" s="45" t="n"/>
      <c r="E8" s="45" t="n"/>
      <c r="F8" s="45" t="n"/>
      <c r="G8" s="45" t="n"/>
      <c r="H8" s="45" t="n"/>
      <c r="I8" s="45" t="n"/>
      <c r="J8" s="45" t="n"/>
      <c r="K8" s="45" t="n"/>
      <c r="L8" s="45" t="n"/>
      <c r="M8" s="45" t="n"/>
    </row>
    <row r="9" ht="15" customHeight="1" s="29">
      <c r="A9" s="40" t="inlineStr">
        <is>
          <t>Warenverkauf / weiterberechnetes Material (optional)</t>
        </is>
      </c>
      <c r="B9" s="45" t="n">
        <v>100219.12</v>
      </c>
      <c r="C9" s="45" t="n">
        <v>103394.25</v>
      </c>
      <c r="D9" s="45" t="n">
        <v>113364</v>
      </c>
      <c r="E9" s="45" t="n">
        <v>112337.25</v>
      </c>
      <c r="F9" s="45" t="n">
        <v>116170.5</v>
      </c>
      <c r="G9" s="45" t="n">
        <v>125179.56</v>
      </c>
      <c r="H9" s="45" t="n">
        <v>136861.61</v>
      </c>
      <c r="I9" s="45" t="n"/>
      <c r="J9" s="45" t="n"/>
      <c r="K9" s="45" t="n"/>
      <c r="L9" s="45" t="n"/>
      <c r="M9" s="45" t="n"/>
    </row>
    <row r="10" ht="15" customHeight="1" s="29">
      <c r="A10" s="36" t="inlineStr">
        <is>
          <t>Σ  Umsatzerlöse</t>
        </is>
      </c>
      <c r="B10" s="46">
        <f>SUM(B6:B9)</f>
        <v/>
      </c>
      <c r="C10" s="46">
        <f>SUM(C6:C9)</f>
        <v/>
      </c>
      <c r="D10" s="46">
        <f>SUM(D6:D9)</f>
        <v/>
      </c>
      <c r="E10" s="46">
        <f>SUM(E6:E9)</f>
        <v/>
      </c>
      <c r="F10" s="46">
        <f>SUM(F6:F9)</f>
        <v/>
      </c>
      <c r="G10" s="46">
        <f>SUM(G6:G9)</f>
        <v/>
      </c>
      <c r="H10" s="46">
        <f>SUM(H6:H9)</f>
        <v/>
      </c>
      <c r="I10" s="46">
        <f>SUM(I6:I9)</f>
        <v/>
      </c>
      <c r="J10" s="46">
        <f>SUM(J6:J9)</f>
        <v/>
      </c>
      <c r="K10" s="46">
        <f>SUM(K6:K9)</f>
        <v/>
      </c>
      <c r="L10" s="46">
        <f>SUM(L6:L9)</f>
        <v/>
      </c>
      <c r="M10" s="46">
        <f>SUM(M6:M9)</f>
        <v/>
      </c>
    </row>
    <row r="11" ht="15" customHeight="1" s="29">
      <c r="A11" s="40" t="inlineStr">
        <is>
          <t>Sonstige betriebliche Erträge</t>
        </is>
      </c>
      <c r="B11" s="45" t="n"/>
      <c r="C11" s="45" t="n"/>
      <c r="D11" s="45" t="n"/>
      <c r="E11" s="45" t="n"/>
      <c r="F11" s="45" t="n"/>
      <c r="G11" s="45" t="n"/>
      <c r="H11" s="45" t="n">
        <v>2345.6</v>
      </c>
      <c r="I11" s="45" t="n"/>
      <c r="J11" s="45" t="n"/>
      <c r="K11" s="45" t="n"/>
      <c r="L11" s="45" t="n"/>
      <c r="M11" s="45" t="n"/>
    </row>
    <row r="12" ht="15" customHeight="1" s="29">
      <c r="A12" s="36" t="inlineStr">
        <is>
          <t>Σ  Gesamtleistung</t>
        </is>
      </c>
      <c r="B12" s="46">
        <f>B10+B11</f>
        <v/>
      </c>
      <c r="C12" s="46">
        <f>C10+C11</f>
        <v/>
      </c>
      <c r="D12" s="46">
        <f>D10+D11</f>
        <v/>
      </c>
      <c r="E12" s="46">
        <f>E10+E11</f>
        <v/>
      </c>
      <c r="F12" s="46">
        <f>F10+F11</f>
        <v/>
      </c>
      <c r="G12" s="46">
        <f>G10+G11</f>
        <v/>
      </c>
      <c r="H12" s="46">
        <f>H10+H11</f>
        <v/>
      </c>
      <c r="I12" s="46">
        <f>I10+I11</f>
        <v/>
      </c>
      <c r="J12" s="46">
        <f>J10+J11</f>
        <v/>
      </c>
      <c r="K12" s="46">
        <f>K10+K11</f>
        <v/>
      </c>
      <c r="L12" s="46">
        <f>L10+L11</f>
        <v/>
      </c>
      <c r="M12" s="46">
        <f>M10+M11</f>
        <v/>
      </c>
    </row>
    <row r="14" ht="15" customHeight="1" s="29">
      <c r="A14" s="43" t="inlineStr">
        <is>
          <t>VARIABLE KOSTEN  (steigen mit jeder zusätzlichen Leistungseinheit)</t>
        </is>
      </c>
      <c r="B14" s="44" t="n"/>
      <c r="C14" s="44" t="n"/>
      <c r="D14" s="44" t="n"/>
      <c r="E14" s="44" t="n"/>
      <c r="F14" s="44" t="n"/>
      <c r="G14" s="44" t="n"/>
      <c r="H14" s="44" t="n"/>
      <c r="I14" s="44" t="n"/>
      <c r="J14" s="44" t="n"/>
      <c r="K14" s="44" t="n"/>
      <c r="L14" s="44" t="n"/>
      <c r="M14" s="44" t="n"/>
    </row>
    <row r="15" ht="15" customHeight="1" s="29">
      <c r="A15" s="40" t="inlineStr">
        <is>
          <t>Wareneinsatz / Materialaufwand</t>
        </is>
      </c>
      <c r="B15" s="45" t="n">
        <v>80171.09</v>
      </c>
      <c r="C15" s="45" t="n">
        <v>82229.64</v>
      </c>
      <c r="D15" s="45" t="n">
        <v>90086.00999999999</v>
      </c>
      <c r="E15" s="45" t="n">
        <v>88786.39</v>
      </c>
      <c r="F15" s="45" t="n">
        <v>93163.25</v>
      </c>
      <c r="G15" s="45" t="n">
        <v>105947.68</v>
      </c>
      <c r="H15" s="45" t="n">
        <v>116346.42</v>
      </c>
      <c r="I15" s="45" t="n"/>
      <c r="J15" s="45" t="n"/>
      <c r="K15" s="45" t="n"/>
      <c r="L15" s="45" t="n"/>
      <c r="M15" s="45" t="n"/>
    </row>
    <row r="16" ht="15" customHeight="1" s="29">
      <c r="A16" s="40" t="inlineStr">
        <is>
          <t>Fremdleistungen / Subunternehmer</t>
        </is>
      </c>
      <c r="B16" s="45" t="n">
        <v>11804.63</v>
      </c>
      <c r="C16" s="45" t="n">
        <v>12107.74</v>
      </c>
      <c r="D16" s="45" t="n">
        <v>13264.54</v>
      </c>
      <c r="E16" s="45" t="n">
        <v>13073.18</v>
      </c>
      <c r="F16" s="45" t="n">
        <v>13717.64</v>
      </c>
      <c r="G16" s="45" t="n">
        <v>15600.06</v>
      </c>
      <c r="H16" s="45" t="n">
        <v>17142.83</v>
      </c>
      <c r="I16" s="45" t="n"/>
      <c r="J16" s="45" t="n"/>
      <c r="K16" s="45" t="n"/>
      <c r="L16" s="45" t="n"/>
      <c r="M16" s="45" t="n"/>
    </row>
    <row r="17" ht="15" customHeight="1" s="29">
      <c r="A17" s="40" t="inlineStr">
        <is>
          <t>Leistungsabhängige Löhne (optional)</t>
        </is>
      </c>
      <c r="B17" s="45" t="n"/>
      <c r="C17" s="45" t="n"/>
      <c r="D17" s="45" t="n"/>
      <c r="E17" s="45" t="n"/>
      <c r="F17" s="45" t="n"/>
      <c r="G17" s="45" t="n"/>
      <c r="H17" s="45" t="n"/>
      <c r="I17" s="45" t="n"/>
      <c r="J17" s="45" t="n"/>
      <c r="K17" s="45" t="n"/>
      <c r="L17" s="45" t="n"/>
      <c r="M17" s="45" t="n"/>
    </row>
    <row r="18" ht="15" customHeight="1" s="29">
      <c r="A18" s="40" t="inlineStr">
        <is>
          <t>Energie mengenabhängig (optional)</t>
        </is>
      </c>
      <c r="B18" s="45" t="n"/>
      <c r="C18" s="45" t="n"/>
      <c r="D18" s="45" t="n"/>
      <c r="E18" s="45" t="n"/>
      <c r="F18" s="45" t="n"/>
      <c r="G18" s="45" t="n"/>
      <c r="H18" s="45" t="n"/>
      <c r="I18" s="45" t="n"/>
      <c r="J18" s="45" t="n"/>
      <c r="K18" s="45" t="n"/>
      <c r="L18" s="45" t="n"/>
      <c r="M18" s="45" t="n"/>
    </row>
    <row r="19" ht="15" customHeight="1" s="29">
      <c r="A19" s="40" t="inlineStr">
        <is>
          <t>Provisionen / Plattformgebühren (optional)</t>
        </is>
      </c>
      <c r="B19" s="45" t="n"/>
      <c r="C19" s="45" t="n"/>
      <c r="D19" s="45" t="n"/>
      <c r="E19" s="45" t="n"/>
      <c r="F19" s="45" t="n"/>
      <c r="G19" s="45" t="n"/>
      <c r="H19" s="45" t="n"/>
      <c r="I19" s="45" t="n"/>
      <c r="J19" s="45" t="n"/>
      <c r="K19" s="45" t="n"/>
      <c r="L19" s="45" t="n"/>
      <c r="M19" s="45" t="n"/>
    </row>
    <row r="20" ht="15" customHeight="1" s="29">
      <c r="A20" s="40" t="inlineStr">
        <is>
          <t>Verpackung / Transport (optional)</t>
        </is>
      </c>
      <c r="B20" s="45" t="n"/>
      <c r="C20" s="45" t="n"/>
      <c r="D20" s="45" t="n"/>
      <c r="E20" s="45" t="n"/>
      <c r="F20" s="45" t="n"/>
      <c r="G20" s="45" t="n"/>
      <c r="H20" s="45" t="n"/>
      <c r="I20" s="45" t="n"/>
      <c r="J20" s="45" t="n"/>
      <c r="K20" s="45" t="n"/>
      <c r="L20" s="45" t="n"/>
      <c r="M20" s="45" t="n"/>
    </row>
    <row r="21" ht="15" customHeight="1" s="29">
      <c r="A21" s="40" t="inlineStr">
        <is>
          <t>Sonstige variable Kosten (optional)</t>
        </is>
      </c>
      <c r="B21" s="45" t="n">
        <v>6478.27</v>
      </c>
      <c r="C21" s="45" t="n">
        <v>6644.62</v>
      </c>
      <c r="D21" s="45" t="n">
        <v>7279.45</v>
      </c>
      <c r="E21" s="45" t="n">
        <v>7174.44</v>
      </c>
      <c r="F21" s="45" t="n">
        <v>7528.11</v>
      </c>
      <c r="G21" s="45" t="n">
        <v>8561.17</v>
      </c>
      <c r="H21" s="45" t="n">
        <v>9414.51</v>
      </c>
      <c r="I21" s="45" t="n"/>
      <c r="J21" s="45" t="n"/>
      <c r="K21" s="45" t="n"/>
      <c r="L21" s="45" t="n"/>
      <c r="M21" s="45" t="n"/>
    </row>
    <row r="22" ht="15" customHeight="1" s="29">
      <c r="A22" s="36" t="inlineStr">
        <is>
          <t>Σ  Variable Kosten gesamt</t>
        </is>
      </c>
      <c r="B22" s="46">
        <f>SUM(B15:B21)</f>
        <v/>
      </c>
      <c r="C22" s="46">
        <f>SUM(C15:C21)</f>
        <v/>
      </c>
      <c r="D22" s="46">
        <f>SUM(D15:D21)</f>
        <v/>
      </c>
      <c r="E22" s="46">
        <f>SUM(E15:E21)</f>
        <v/>
      </c>
      <c r="F22" s="46">
        <f>SUM(F15:F21)</f>
        <v/>
      </c>
      <c r="G22" s="46">
        <f>SUM(G15:G21)</f>
        <v/>
      </c>
      <c r="H22" s="46">
        <f>SUM(H15:H21)</f>
        <v/>
      </c>
      <c r="I22" s="46">
        <f>SUM(I15:I21)</f>
        <v/>
      </c>
      <c r="J22" s="46">
        <f>SUM(J15:J21)</f>
        <v/>
      </c>
      <c r="K22" s="46">
        <f>SUM(K15:K21)</f>
        <v/>
      </c>
      <c r="L22" s="46">
        <f>SUM(L15:L21)</f>
        <v/>
      </c>
      <c r="M22" s="46">
        <f>SUM(M15:M21)</f>
        <v/>
      </c>
    </row>
    <row r="23" ht="15" customHeight="1" s="29">
      <c r="A23" s="36" t="inlineStr">
        <is>
          <t>Σ  Deckungsbeitrag</t>
        </is>
      </c>
      <c r="B23" s="46">
        <f>B12-B22</f>
        <v/>
      </c>
      <c r="C23" s="46">
        <f>C12-C22</f>
        <v/>
      </c>
      <c r="D23" s="46">
        <f>D12-D22</f>
        <v/>
      </c>
      <c r="E23" s="46">
        <f>E12-E22</f>
        <v/>
      </c>
      <c r="F23" s="46">
        <f>F12-F22</f>
        <v/>
      </c>
      <c r="G23" s="46">
        <f>G12-G22</f>
        <v/>
      </c>
      <c r="H23" s="46">
        <f>H12-H22</f>
        <v/>
      </c>
      <c r="I23" s="46">
        <f>I12-I22</f>
        <v/>
      </c>
      <c r="J23" s="46">
        <f>J12-J22</f>
        <v/>
      </c>
      <c r="K23" s="46">
        <f>K12-K22</f>
        <v/>
      </c>
      <c r="L23" s="46">
        <f>L12-L22</f>
        <v/>
      </c>
      <c r="M23" s="46">
        <f>M12-M22</f>
        <v/>
      </c>
    </row>
    <row r="24" ht="15" customHeight="1" s="29">
      <c r="A24" s="47" t="inlineStr">
        <is>
          <t xml:space="preserve">  Deckungsbeitragsquote</t>
        </is>
      </c>
      <c r="B24" s="48">
        <f>IFERROR(B23/B12*100,"")</f>
        <v/>
      </c>
      <c r="C24" s="48">
        <f>IFERROR(C23/C12*100,"")</f>
        <v/>
      </c>
      <c r="D24" s="48">
        <f>IFERROR(D23/D12*100,"")</f>
        <v/>
      </c>
      <c r="E24" s="48">
        <f>IFERROR(E23/E12*100,"")</f>
        <v/>
      </c>
      <c r="F24" s="48">
        <f>IFERROR(F23/F12*100,"")</f>
        <v/>
      </c>
      <c r="G24" s="48">
        <f>IFERROR(G23/G12*100,"")</f>
        <v/>
      </c>
      <c r="H24" s="48">
        <f>IFERROR(H23/H12*100,"")</f>
        <v/>
      </c>
      <c r="I24" s="48">
        <f>IFERROR(I23/I12*100,"")</f>
        <v/>
      </c>
      <c r="J24" s="48">
        <f>IFERROR(J23/J12*100,"")</f>
        <v/>
      </c>
      <c r="K24" s="48">
        <f>IFERROR(K23/K12*100,"")</f>
        <v/>
      </c>
      <c r="L24" s="48">
        <f>IFERROR(L23/L12*100,"")</f>
        <v/>
      </c>
      <c r="M24" s="48">
        <f>IFERROR(M23/M12*100,"")</f>
        <v/>
      </c>
    </row>
    <row r="26" ht="15" customHeight="1" s="29">
      <c r="A26" s="43" t="inlineStr">
        <is>
          <t>FIXKOSTEN  (fallen unabhängig von der Menge an)</t>
        </is>
      </c>
      <c r="B26" s="44" t="n"/>
      <c r="C26" s="44" t="n"/>
      <c r="D26" s="44" t="n"/>
      <c r="E26" s="44" t="n"/>
      <c r="F26" s="44" t="n"/>
      <c r="G26" s="44" t="n"/>
      <c r="H26" s="44" t="n"/>
      <c r="I26" s="44" t="n"/>
      <c r="J26" s="44" t="n"/>
      <c r="K26" s="44" t="n"/>
      <c r="L26" s="44" t="n"/>
      <c r="M26" s="44" t="n"/>
    </row>
    <row r="27" ht="15" customHeight="1" s="29">
      <c r="A27" s="40" t="inlineStr">
        <is>
          <t>Personalaufwand (inkl. Arbeitgeberanteil)</t>
        </is>
      </c>
      <c r="B27" s="45" t="n">
        <v>128379.44</v>
      </c>
      <c r="C27" s="45" t="n">
        <v>128671.2</v>
      </c>
      <c r="D27" s="45" t="n">
        <v>133133.65</v>
      </c>
      <c r="E27" s="45" t="n">
        <v>133927.58</v>
      </c>
      <c r="F27" s="45" t="n">
        <v>140026.39</v>
      </c>
      <c r="G27" s="45" t="n">
        <v>137581.24</v>
      </c>
      <c r="H27" s="45" t="n">
        <v>142062.35</v>
      </c>
      <c r="I27" s="45" t="n"/>
      <c r="J27" s="45" t="n"/>
      <c r="K27" s="45" t="n"/>
      <c r="L27" s="45" t="n"/>
      <c r="M27" s="45" t="n"/>
    </row>
    <row r="28" ht="15" customHeight="1" s="29">
      <c r="A28" s="40" t="inlineStr">
        <is>
          <t>Miete &amp; Nebenkosten</t>
        </is>
      </c>
      <c r="B28" s="45" t="n">
        <v>10602.55</v>
      </c>
      <c r="C28" s="45" t="n">
        <v>10626.64</v>
      </c>
      <c r="D28" s="45" t="n">
        <v>10995.18</v>
      </c>
      <c r="E28" s="45" t="n">
        <v>11060.75</v>
      </c>
      <c r="F28" s="45" t="n">
        <v>11564.44</v>
      </c>
      <c r="G28" s="45" t="n">
        <v>11362.5</v>
      </c>
      <c r="H28" s="45" t="n">
        <v>11737.4</v>
      </c>
      <c r="I28" s="45" t="n"/>
      <c r="J28" s="45" t="n"/>
      <c r="K28" s="45" t="n"/>
      <c r="L28" s="45" t="n"/>
      <c r="M28" s="45" t="n"/>
    </row>
    <row r="29" ht="15" customHeight="1" s="29">
      <c r="A29" s="40" t="inlineStr">
        <is>
          <t>Energie (Grundgebühren, Heizung)</t>
        </is>
      </c>
      <c r="B29" s="45" t="n"/>
      <c r="C29" s="45" t="n"/>
      <c r="D29" s="45" t="n"/>
      <c r="E29" s="45" t="n"/>
      <c r="F29" s="45" t="n"/>
      <c r="G29" s="45" t="n"/>
      <c r="H29" s="45" t="n"/>
      <c r="I29" s="45" t="n"/>
      <c r="J29" s="45" t="n"/>
      <c r="K29" s="45" t="n"/>
      <c r="L29" s="45" t="n"/>
      <c r="M29" s="45" t="n"/>
    </row>
    <row r="30" ht="15" customHeight="1" s="29">
      <c r="A30" s="40" t="inlineStr">
        <is>
          <t>Fahrzeuge / Fuhrpark</t>
        </is>
      </c>
      <c r="B30" s="45" t="n">
        <v>10044.52</v>
      </c>
      <c r="C30" s="45" t="n">
        <v>10067.34</v>
      </c>
      <c r="D30" s="45" t="n">
        <v>10416.49</v>
      </c>
      <c r="E30" s="45" t="n">
        <v>10478.61</v>
      </c>
      <c r="F30" s="45" t="n">
        <v>10955.79</v>
      </c>
      <c r="G30" s="45" t="n">
        <v>10764.47</v>
      </c>
      <c r="H30" s="45" t="n">
        <v>11124.35</v>
      </c>
      <c r="I30" s="45" t="n"/>
      <c r="J30" s="45" t="n"/>
      <c r="K30" s="45" t="n"/>
      <c r="L30" s="45" t="n"/>
      <c r="M30" s="45" t="n"/>
    </row>
    <row r="31" ht="15" customHeight="1" s="29">
      <c r="A31" s="40" t="inlineStr">
        <is>
          <t>Wartung, Reparatur &amp; Instandhaltung</t>
        </is>
      </c>
      <c r="B31" s="45" t="n"/>
      <c r="C31" s="45" t="n"/>
      <c r="D31" s="45" t="n"/>
      <c r="E31" s="45" t="n"/>
      <c r="F31" s="45" t="n"/>
      <c r="G31" s="45" t="n"/>
      <c r="H31" s="45" t="n"/>
      <c r="I31" s="45" t="n"/>
      <c r="J31" s="45" t="n"/>
      <c r="K31" s="45" t="n"/>
      <c r="L31" s="45" t="n"/>
      <c r="M31" s="45" t="n"/>
    </row>
    <row r="32" ht="15" customHeight="1" s="29">
      <c r="A32" s="40" t="inlineStr">
        <is>
          <t>Versicherungen &amp; Beiträge (inkl. Berufsgenossenschaft)</t>
        </is>
      </c>
      <c r="B32" s="45" t="n">
        <v>4956.61</v>
      </c>
      <c r="C32" s="45" t="n">
        <v>4967.87</v>
      </c>
      <c r="D32" s="45" t="n">
        <v>5140.16</v>
      </c>
      <c r="E32" s="45" t="n">
        <v>5170.82</v>
      </c>
      <c r="F32" s="45" t="n">
        <v>5406.29</v>
      </c>
      <c r="G32" s="45" t="n">
        <v>5311.88</v>
      </c>
      <c r="H32" s="45" t="n">
        <v>5476.3</v>
      </c>
      <c r="I32" s="45" t="n"/>
      <c r="J32" s="45" t="n"/>
      <c r="K32" s="45" t="n"/>
      <c r="L32" s="45" t="n"/>
      <c r="M32" s="45" t="n"/>
    </row>
    <row r="33" ht="15" customHeight="1" s="29">
      <c r="A33" s="40" t="inlineStr">
        <is>
          <t>IT, Software &amp; Kommunikation</t>
        </is>
      </c>
      <c r="B33" s="45" t="n">
        <v>2117.23</v>
      </c>
      <c r="C33" s="45" t="n">
        <v>2122.04</v>
      </c>
      <c r="D33" s="45" t="n">
        <v>2195.63</v>
      </c>
      <c r="E33" s="45" t="n">
        <v>2208.73</v>
      </c>
      <c r="F33" s="45" t="n">
        <v>2309.31</v>
      </c>
      <c r="G33" s="45" t="n">
        <v>2268.98</v>
      </c>
      <c r="H33" s="45" t="n">
        <v>2340.75</v>
      </c>
      <c r="I33" s="45" t="n"/>
      <c r="J33" s="45" t="n"/>
      <c r="K33" s="45" t="n"/>
      <c r="L33" s="45" t="n"/>
      <c r="M33" s="45" t="n"/>
    </row>
    <row r="34" ht="15" customHeight="1" s="29">
      <c r="A34" s="40" t="inlineStr">
        <is>
          <t>Marketing &amp; Vertrieb</t>
        </is>
      </c>
      <c r="B34" s="45" t="n">
        <v>2691.67</v>
      </c>
      <c r="C34" s="45" t="n">
        <v>2697.79</v>
      </c>
      <c r="D34" s="45" t="n">
        <v>2791.35</v>
      </c>
      <c r="E34" s="45" t="n">
        <v>2807.99</v>
      </c>
      <c r="F34" s="45" t="n">
        <v>2935.86</v>
      </c>
      <c r="G34" s="45" t="n">
        <v>2884.6</v>
      </c>
      <c r="H34" s="45" t="n">
        <v>2987.6</v>
      </c>
      <c r="I34" s="45" t="n"/>
      <c r="J34" s="45" t="n"/>
      <c r="K34" s="45" t="n"/>
      <c r="L34" s="45" t="n"/>
      <c r="M34" s="45" t="n"/>
    </row>
    <row r="35" ht="15" customHeight="1" s="29">
      <c r="A35" s="40" t="inlineStr">
        <is>
          <t>Beratung (Steuerberatung, Recht)</t>
        </is>
      </c>
      <c r="B35" s="45" t="n"/>
      <c r="C35" s="45" t="n"/>
      <c r="D35" s="45" t="n"/>
      <c r="E35" s="45" t="n"/>
      <c r="F35" s="45" t="n"/>
      <c r="G35" s="45" t="n"/>
      <c r="H35" s="45" t="n"/>
      <c r="I35" s="45" t="n"/>
      <c r="J35" s="45" t="n"/>
      <c r="K35" s="45" t="n"/>
      <c r="L35" s="45" t="n"/>
      <c r="M35" s="45" t="n"/>
    </row>
    <row r="36" ht="15" customHeight="1" s="29">
      <c r="A36" s="40" t="inlineStr">
        <is>
          <t>Sonstige betriebliche Aufwendungen</t>
        </is>
      </c>
      <c r="B36" s="45" t="n">
        <v>5334.1</v>
      </c>
      <c r="C36" s="45" t="n">
        <v>5346.22</v>
      </c>
      <c r="D36" s="45" t="n">
        <v>5531.63</v>
      </c>
      <c r="E36" s="45" t="n">
        <v>5564.62</v>
      </c>
      <c r="F36" s="45" t="n">
        <v>5818.02</v>
      </c>
      <c r="G36" s="45" t="n">
        <v>5716.43</v>
      </c>
      <c r="H36" s="45" t="n">
        <v>5876.9</v>
      </c>
      <c r="I36" s="45" t="n"/>
      <c r="J36" s="45" t="n"/>
      <c r="K36" s="45" t="n"/>
      <c r="L36" s="45" t="n"/>
      <c r="M36" s="45" t="n"/>
    </row>
    <row r="37" ht="15" customHeight="1" s="29">
      <c r="A37" s="36" t="inlineStr">
        <is>
          <t>Σ  Fixkosten gesamt (ohne Abschreibungen)</t>
        </is>
      </c>
      <c r="B37" s="46">
        <f>SUM(B27:B36)</f>
        <v/>
      </c>
      <c r="C37" s="46">
        <f>SUM(C27:C36)</f>
        <v/>
      </c>
      <c r="D37" s="46">
        <f>SUM(D27:D36)</f>
        <v/>
      </c>
      <c r="E37" s="46">
        <f>SUM(E27:E36)</f>
        <v/>
      </c>
      <c r="F37" s="46">
        <f>SUM(F27:F36)</f>
        <v/>
      </c>
      <c r="G37" s="46">
        <f>SUM(G27:G36)</f>
        <v/>
      </c>
      <c r="H37" s="46">
        <f>SUM(H27:H36)</f>
        <v/>
      </c>
      <c r="I37" s="46">
        <f>SUM(I27:I36)</f>
        <v/>
      </c>
      <c r="J37" s="46">
        <f>SUM(J27:J36)</f>
        <v/>
      </c>
      <c r="K37" s="46">
        <f>SUM(K27:K36)</f>
        <v/>
      </c>
      <c r="L37" s="46">
        <f>SUM(L27:L36)</f>
        <v/>
      </c>
      <c r="M37" s="46">
        <f>SUM(M27:M36)</f>
        <v/>
      </c>
    </row>
    <row r="38" ht="15" customHeight="1" s="29">
      <c r="A38" s="36" t="inlineStr">
        <is>
          <t>Σ  EBITDA</t>
        </is>
      </c>
      <c r="B38" s="46">
        <f>B23-B37</f>
        <v/>
      </c>
      <c r="C38" s="46">
        <f>C23-C37</f>
        <v/>
      </c>
      <c r="D38" s="46">
        <f>D23-D37</f>
        <v/>
      </c>
      <c r="E38" s="46">
        <f>E23-E37</f>
        <v/>
      </c>
      <c r="F38" s="46">
        <f>F23-F37</f>
        <v/>
      </c>
      <c r="G38" s="46">
        <f>G23-G37</f>
        <v/>
      </c>
      <c r="H38" s="46">
        <f>H23-H37</f>
        <v/>
      </c>
      <c r="I38" s="46">
        <f>I23-I37</f>
        <v/>
      </c>
      <c r="J38" s="46">
        <f>J23-J37</f>
        <v/>
      </c>
      <c r="K38" s="46">
        <f>K23-K37</f>
        <v/>
      </c>
      <c r="L38" s="46">
        <f>L23-L37</f>
        <v/>
      </c>
      <c r="M38" s="46">
        <f>M23-M37</f>
        <v/>
      </c>
    </row>
    <row r="40" ht="15" customHeight="1" s="29">
      <c r="A40" s="43" t="inlineStr">
        <is>
          <t>ABSCHREIBUNGEN UND ZINSEN</t>
        </is>
      </c>
      <c r="B40" s="44" t="n"/>
      <c r="C40" s="44" t="n"/>
      <c r="D40" s="44" t="n"/>
      <c r="E40" s="44" t="n"/>
      <c r="F40" s="44" t="n"/>
      <c r="G40" s="44" t="n"/>
      <c r="H40" s="44" t="n"/>
      <c r="I40" s="44" t="n"/>
      <c r="J40" s="44" t="n"/>
      <c r="K40" s="44" t="n"/>
      <c r="L40" s="44" t="n"/>
      <c r="M40" s="44" t="n"/>
    </row>
    <row r="41" ht="15" customHeight="1" s="29">
      <c r="A41" s="40" t="inlineStr">
        <is>
          <t>Abschreibungen (AfA)</t>
        </is>
      </c>
      <c r="B41" s="45" t="n">
        <v>6680.9</v>
      </c>
      <c r="C41" s="45" t="n">
        <v>6680.9</v>
      </c>
      <c r="D41" s="45" t="n">
        <v>6680.9</v>
      </c>
      <c r="E41" s="45" t="n">
        <v>6680.9</v>
      </c>
      <c r="F41" s="45" t="n">
        <v>6680.9</v>
      </c>
      <c r="G41" s="45" t="n">
        <v>6680.9</v>
      </c>
      <c r="H41" s="45" t="n">
        <v>6680.9</v>
      </c>
      <c r="I41" s="45" t="n"/>
      <c r="J41" s="45" t="n"/>
      <c r="K41" s="45" t="n"/>
      <c r="L41" s="45" t="n"/>
      <c r="M41" s="45" t="n"/>
    </row>
    <row r="42" ht="15" customHeight="1" s="29">
      <c r="A42" s="36" t="inlineStr">
        <is>
          <t>Σ  EBIT</t>
        </is>
      </c>
      <c r="B42" s="46">
        <f>B38-B41</f>
        <v/>
      </c>
      <c r="C42" s="46">
        <f>C38-C41</f>
        <v/>
      </c>
      <c r="D42" s="46">
        <f>D38-D41</f>
        <v/>
      </c>
      <c r="E42" s="46">
        <f>E38-E41</f>
        <v/>
      </c>
      <c r="F42" s="46">
        <f>F38-F41</f>
        <v/>
      </c>
      <c r="G42" s="46">
        <f>G38-G41</f>
        <v/>
      </c>
      <c r="H42" s="46">
        <f>H38-H41</f>
        <v/>
      </c>
      <c r="I42" s="46">
        <f>I38-I41</f>
        <v/>
      </c>
      <c r="J42" s="46">
        <f>J38-J41</f>
        <v/>
      </c>
      <c r="K42" s="46">
        <f>K38-K41</f>
        <v/>
      </c>
      <c r="L42" s="46">
        <f>L38-L41</f>
        <v/>
      </c>
      <c r="M42" s="46">
        <f>M38-M41</f>
        <v/>
      </c>
    </row>
    <row r="43" ht="15" customHeight="1" s="29">
      <c r="A43" s="40" t="inlineStr">
        <is>
          <t>Zinsaufwand (positiv eintragen)</t>
        </is>
      </c>
      <c r="B43" s="45" t="n">
        <v>2845</v>
      </c>
      <c r="C43" s="45" t="n">
        <v>2799</v>
      </c>
      <c r="D43" s="45" t="n">
        <v>2751</v>
      </c>
      <c r="E43" s="45" t="n">
        <v>2705</v>
      </c>
      <c r="F43" s="45" t="n">
        <v>2658</v>
      </c>
      <c r="G43" s="45" t="n">
        <v>2612.75</v>
      </c>
      <c r="H43" s="45" t="n">
        <v>2567.45</v>
      </c>
      <c r="I43" s="45" t="n"/>
      <c r="J43" s="45" t="n"/>
      <c r="K43" s="45" t="n"/>
      <c r="L43" s="45" t="n"/>
      <c r="M43" s="45" t="n"/>
    </row>
    <row r="44" ht="15" customHeight="1" s="29">
      <c r="A44" s="40" t="inlineStr">
        <is>
          <t>Zinserträge (optional)</t>
        </is>
      </c>
      <c r="B44" s="45" t="n"/>
      <c r="C44" s="45" t="n"/>
      <c r="D44" s="45" t="n"/>
      <c r="E44" s="45" t="n"/>
      <c r="F44" s="45" t="n"/>
      <c r="G44" s="45" t="n"/>
      <c r="H44" s="45" t="n"/>
      <c r="I44" s="45" t="n"/>
      <c r="J44" s="45" t="n"/>
      <c r="K44" s="45" t="n"/>
      <c r="L44" s="45" t="n"/>
      <c r="M44" s="45" t="n"/>
    </row>
    <row r="45" ht="15" customHeight="1" s="29">
      <c r="A45" s="36" t="inlineStr">
        <is>
          <t>Σ  EBT (Ergebnis vor Steuern)</t>
        </is>
      </c>
      <c r="B45" s="46">
        <f>B42-B43+B44</f>
        <v/>
      </c>
      <c r="C45" s="46">
        <f>C42-C43+C44</f>
        <v/>
      </c>
      <c r="D45" s="46">
        <f>D42-D43+D44</f>
        <v/>
      </c>
      <c r="E45" s="46">
        <f>E42-E43+E44</f>
        <v/>
      </c>
      <c r="F45" s="46">
        <f>F42-F43+F44</f>
        <v/>
      </c>
      <c r="G45" s="46">
        <f>G42-G43+G44</f>
        <v/>
      </c>
      <c r="H45" s="46">
        <f>H42-H43+H44</f>
        <v/>
      </c>
      <c r="I45" s="46">
        <f>I42-I43+I44</f>
        <v/>
      </c>
      <c r="J45" s="46">
        <f>J42-J43+J44</f>
        <v/>
      </c>
      <c r="K45" s="46">
        <f>K42-K43+K44</f>
        <v/>
      </c>
      <c r="L45" s="46">
        <f>L42-L43+L44</f>
        <v/>
      </c>
      <c r="M45" s="46">
        <f>M42-M43+M44</f>
        <v/>
      </c>
    </row>
    <row r="46" ht="15" customHeight="1" s="29">
      <c r="A46" s="47" t="inlineStr">
        <is>
          <t xml:space="preserve">  EBT-Marge</t>
        </is>
      </c>
      <c r="B46" s="48">
        <f>IFERROR(B45/B10*100,"")</f>
        <v/>
      </c>
      <c r="C46" s="48">
        <f>IFERROR(C45/C10*100,"")</f>
        <v/>
      </c>
      <c r="D46" s="48">
        <f>IFERROR(D45/D10*100,"")</f>
        <v/>
      </c>
      <c r="E46" s="48">
        <f>IFERROR(E45/E10*100,"")</f>
        <v/>
      </c>
      <c r="F46" s="48">
        <f>IFERROR(F45/F10*100,"")</f>
        <v/>
      </c>
      <c r="G46" s="48">
        <f>IFERROR(G45/G10*100,"")</f>
        <v/>
      </c>
      <c r="H46" s="48">
        <f>IFERROR(H45/H10*100,"")</f>
        <v/>
      </c>
      <c r="I46" s="48">
        <f>IFERROR(I45/I10*100,"")</f>
        <v/>
      </c>
      <c r="J46" s="48">
        <f>IFERROR(J45/J10*100,"")</f>
        <v/>
      </c>
      <c r="K46" s="48">
        <f>IFERROR(K45/K10*100,"")</f>
        <v/>
      </c>
      <c r="L46" s="48">
        <f>IFERROR(L45/L10*100,"")</f>
        <v/>
      </c>
      <c r="M46" s="48">
        <f>IFERROR(M45/M10*100,"")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46" customWidth="1" style="28" min="1" max="1"/>
    <col width="13" customWidth="1" style="28" min="2" max="13"/>
  </cols>
  <sheetData>
    <row r="1" ht="18.55" customHeight="1" s="29">
      <c r="A1" s="37" t="inlineStr">
        <is>
          <t>3  Mengen und operative Kennzahlen</t>
        </is>
      </c>
    </row>
    <row r="2" ht="15" customHeight="1" s="29">
      <c r="A2" s="38" t="inlineStr">
        <is>
          <t>Die Leistungseinheit haben Sie in Blatt „1 Stammdaten“ festgelegt.</t>
        </is>
      </c>
    </row>
    <row r="4" ht="15" customHeight="1" s="29">
      <c r="A4" s="39" t="inlineStr">
        <is>
          <t>Kennzahl</t>
        </is>
      </c>
      <c r="B4" s="42" t="inlineStr">
        <is>
          <t>Januar</t>
        </is>
      </c>
      <c r="C4" s="42" t="inlineStr">
        <is>
          <t>Februar</t>
        </is>
      </c>
      <c r="D4" s="42" t="inlineStr">
        <is>
          <t>März</t>
        </is>
      </c>
      <c r="E4" s="42" t="inlineStr">
        <is>
          <t>April</t>
        </is>
      </c>
      <c r="F4" s="42" t="inlineStr">
        <is>
          <t>Mai</t>
        </is>
      </c>
      <c r="G4" s="42" t="inlineStr">
        <is>
          <t>Juni</t>
        </is>
      </c>
      <c r="H4" s="42" t="inlineStr">
        <is>
          <t>Juli</t>
        </is>
      </c>
      <c r="I4" s="42" t="inlineStr">
        <is>
          <t>August</t>
        </is>
      </c>
      <c r="J4" s="42" t="inlineStr">
        <is>
          <t>September</t>
        </is>
      </c>
      <c r="K4" s="42" t="inlineStr">
        <is>
          <t>Oktober</t>
        </is>
      </c>
      <c r="L4" s="42" t="inlineStr">
        <is>
          <t>November</t>
        </is>
      </c>
      <c r="M4" s="42" t="inlineStr">
        <is>
          <t>Dezember</t>
        </is>
      </c>
    </row>
    <row r="5" ht="15" customHeight="1" s="29">
      <c r="A5" s="43" t="inlineStr">
        <is>
          <t>MENGENGERÜST</t>
        </is>
      </c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</row>
    <row r="6" ht="15" customHeight="1" s="29">
      <c r="A6" s="40" t="inlineStr">
        <is>
          <t>Anzahl Leistungseinheiten</t>
        </is>
      </c>
      <c r="B6" s="49" t="n">
        <v>2500.34</v>
      </c>
      <c r="C6" s="49" t="n">
        <v>2579.56</v>
      </c>
      <c r="D6" s="49" t="n">
        <v>2679.43</v>
      </c>
      <c r="E6" s="49" t="n">
        <v>2627.77</v>
      </c>
      <c r="F6" s="49" t="n">
        <v>2531.34</v>
      </c>
      <c r="G6" s="49" t="n">
        <v>2727.65</v>
      </c>
      <c r="H6" s="49" t="n">
        <v>2810.3</v>
      </c>
      <c r="I6" s="49" t="n"/>
      <c r="J6" s="49" t="n"/>
      <c r="K6" s="49" t="n"/>
      <c r="L6" s="49" t="n"/>
      <c r="M6" s="49" t="n"/>
    </row>
    <row r="7" ht="15" customHeight="1" s="29">
      <c r="A7" s="40" t="inlineStr">
        <is>
          <t>Kapazität (mögliche Einheiten, optional)</t>
        </is>
      </c>
      <c r="B7" s="49" t="n">
        <v>3444</v>
      </c>
      <c r="C7" s="49" t="n">
        <v>3444</v>
      </c>
      <c r="D7" s="49" t="n">
        <v>3444</v>
      </c>
      <c r="E7" s="49" t="n">
        <v>3444</v>
      </c>
      <c r="F7" s="49" t="n">
        <v>3444</v>
      </c>
      <c r="G7" s="49" t="n">
        <v>3444</v>
      </c>
      <c r="H7" s="49" t="n">
        <v>3444</v>
      </c>
      <c r="I7" s="49" t="n"/>
      <c r="J7" s="49" t="n"/>
      <c r="K7" s="49" t="n"/>
      <c r="L7" s="49" t="n"/>
      <c r="M7" s="49" t="n"/>
    </row>
    <row r="8" ht="15" customHeight="1" s="29">
      <c r="A8" s="47" t="inlineStr">
        <is>
          <t xml:space="preserve">  Auslastung</t>
        </is>
      </c>
      <c r="B8" s="48">
        <f>IFERROR(B6/B7*100,"")</f>
        <v/>
      </c>
      <c r="C8" s="48">
        <f>IFERROR(C6/C7*100,"")</f>
        <v/>
      </c>
      <c r="D8" s="48">
        <f>IFERROR(D6/D7*100,"")</f>
        <v/>
      </c>
      <c r="E8" s="48">
        <f>IFERROR(E6/E7*100,"")</f>
        <v/>
      </c>
      <c r="F8" s="48">
        <f>IFERROR(F6/F7*100,"")</f>
        <v/>
      </c>
      <c r="G8" s="48">
        <f>IFERROR(G6/G7*100,"")</f>
        <v/>
      </c>
      <c r="H8" s="48">
        <f>IFERROR(H6/H7*100,"")</f>
        <v/>
      </c>
      <c r="I8" s="48">
        <f>IFERROR(I6/I7*100,"")</f>
        <v/>
      </c>
      <c r="J8" s="48">
        <f>IFERROR(J6/J7*100,"")</f>
        <v/>
      </c>
      <c r="K8" s="48">
        <f>IFERROR(K6/K7*100,"")</f>
        <v/>
      </c>
      <c r="L8" s="48">
        <f>IFERROR(L6/L7*100,"")</f>
        <v/>
      </c>
      <c r="M8" s="48">
        <f>IFERROR(M6/M7*100,"")</f>
        <v/>
      </c>
    </row>
    <row r="9" ht="15" customHeight="1" s="29">
      <c r="A9" s="47" t="inlineStr">
        <is>
          <t xml:space="preserve">  Ø Erlös je Leistungseinheit</t>
        </is>
      </c>
      <c r="B9" s="50">
        <f>IFERROR('2 GuV'!B10/B6,"")</f>
        <v/>
      </c>
      <c r="C9" s="50">
        <f>IFERROR('2 GuV'!C10/C6,"")</f>
        <v/>
      </c>
      <c r="D9" s="50">
        <f>IFERROR('2 GuV'!D10/D6,"")</f>
        <v/>
      </c>
      <c r="E9" s="50">
        <f>IFERROR('2 GuV'!E10/E6,"")</f>
        <v/>
      </c>
      <c r="F9" s="50">
        <f>IFERROR('2 GuV'!F10/F6,"")</f>
        <v/>
      </c>
      <c r="G9" s="50">
        <f>IFERROR('2 GuV'!G10/G6,"")</f>
        <v/>
      </c>
      <c r="H9" s="50">
        <f>IFERROR('2 GuV'!H10/H6,"")</f>
        <v/>
      </c>
      <c r="I9" s="50">
        <f>IFERROR('2 GuV'!I10/I6,"")</f>
        <v/>
      </c>
      <c r="J9" s="50">
        <f>IFERROR('2 GuV'!J10/J6,"")</f>
        <v/>
      </c>
      <c r="K9" s="50">
        <f>IFERROR('2 GuV'!K10/K6,"")</f>
        <v/>
      </c>
      <c r="L9" s="50">
        <f>IFERROR('2 GuV'!L10/L6,"")</f>
        <v/>
      </c>
      <c r="M9" s="50">
        <f>IFERROR('2 GuV'!M10/M6,"")</f>
        <v/>
      </c>
    </row>
    <row r="10" ht="15" customHeight="1" s="29">
      <c r="A10" s="47" t="inlineStr">
        <is>
          <t xml:space="preserve">  Deckungsbeitrag je Leistungseinheit</t>
        </is>
      </c>
      <c r="B10" s="50">
        <f>IFERROR('2 GuV'!B23/B6,"")</f>
        <v/>
      </c>
      <c r="C10" s="50">
        <f>IFERROR('2 GuV'!C23/C6,"")</f>
        <v/>
      </c>
      <c r="D10" s="50">
        <f>IFERROR('2 GuV'!D23/D6,"")</f>
        <v/>
      </c>
      <c r="E10" s="50">
        <f>IFERROR('2 GuV'!E23/E6,"")</f>
        <v/>
      </c>
      <c r="F10" s="50">
        <f>IFERROR('2 GuV'!F23/F6,"")</f>
        <v/>
      </c>
      <c r="G10" s="50">
        <f>IFERROR('2 GuV'!G23/G6,"")</f>
        <v/>
      </c>
      <c r="H10" s="50">
        <f>IFERROR('2 GuV'!H23/H6,"")</f>
        <v/>
      </c>
      <c r="I10" s="50">
        <f>IFERROR('2 GuV'!I23/I6,"")</f>
        <v/>
      </c>
      <c r="J10" s="50">
        <f>IFERROR('2 GuV'!J23/J6,"")</f>
        <v/>
      </c>
      <c r="K10" s="50">
        <f>IFERROR('2 GuV'!K23/K6,"")</f>
        <v/>
      </c>
      <c r="L10" s="50">
        <f>IFERROR('2 GuV'!L23/L6,"")</f>
        <v/>
      </c>
      <c r="M10" s="50">
        <f>IFERROR('2 GuV'!M23/M6,"")</f>
        <v/>
      </c>
    </row>
    <row r="12" ht="15" customHeight="1" s="29">
      <c r="A12" s="43" t="inlineStr">
        <is>
          <t>PERSONAL</t>
        </is>
      </c>
      <c r="B12" s="44" t="n"/>
      <c r="C12" s="44" t="n"/>
      <c r="D12" s="44" t="n"/>
      <c r="E12" s="44" t="n"/>
      <c r="F12" s="44" t="n"/>
      <c r="G12" s="44" t="n"/>
      <c r="H12" s="44" t="n"/>
      <c r="I12" s="44" t="n"/>
      <c r="J12" s="44" t="n"/>
      <c r="K12" s="44" t="n"/>
      <c r="L12" s="44" t="n"/>
      <c r="M12" s="44" t="n"/>
    </row>
    <row r="13" ht="15" customHeight="1" s="29">
      <c r="A13" s="40" t="inlineStr">
        <is>
          <t>Mitarbeitende (Köpfe)</t>
        </is>
      </c>
      <c r="B13" s="49" t="n">
        <v>24</v>
      </c>
      <c r="C13" s="49" t="n">
        <v>24</v>
      </c>
      <c r="D13" s="49" t="n">
        <v>24</v>
      </c>
      <c r="E13" s="49" t="n">
        <v>24</v>
      </c>
      <c r="F13" s="49" t="n">
        <v>24</v>
      </c>
      <c r="G13" s="49" t="n">
        <v>24</v>
      </c>
      <c r="H13" s="49" t="n">
        <v>24</v>
      </c>
      <c r="I13" s="49" t="n"/>
      <c r="J13" s="49" t="n"/>
      <c r="K13" s="49" t="n"/>
      <c r="L13" s="49" t="n"/>
      <c r="M13" s="49" t="n"/>
    </row>
    <row r="14" ht="15" customHeight="1" s="29">
      <c r="A14" s="40" t="inlineStr">
        <is>
          <t>Vollzeitäquivalente (VZÄ)</t>
        </is>
      </c>
      <c r="B14" s="51" t="n">
        <v>22.5</v>
      </c>
      <c r="C14" s="51" t="n">
        <v>22.5</v>
      </c>
      <c r="D14" s="51" t="n">
        <v>22.5</v>
      </c>
      <c r="E14" s="51" t="n">
        <v>22.5</v>
      </c>
      <c r="F14" s="51" t="n">
        <v>22.5</v>
      </c>
      <c r="G14" s="51" t="n">
        <v>22.5</v>
      </c>
      <c r="H14" s="51" t="n">
        <v>22.5</v>
      </c>
      <c r="I14" s="51" t="n"/>
      <c r="J14" s="51" t="n"/>
      <c r="K14" s="51" t="n"/>
      <c r="L14" s="51" t="n"/>
      <c r="M14" s="51" t="n"/>
    </row>
    <row r="15" ht="15" customHeight="1" s="29">
      <c r="A15" s="40" t="inlineStr">
        <is>
          <t>Bezahlte Stunden gesamt (optional)</t>
        </is>
      </c>
      <c r="B15" s="49" t="n"/>
      <c r="C15" s="49" t="n"/>
      <c r="D15" s="49" t="n"/>
      <c r="E15" s="49" t="n"/>
      <c r="F15" s="49" t="n"/>
      <c r="G15" s="49" t="n"/>
      <c r="H15" s="49" t="n"/>
      <c r="I15" s="49" t="n"/>
      <c r="J15" s="49" t="n"/>
      <c r="K15" s="49" t="n"/>
      <c r="L15" s="49" t="n"/>
      <c r="M15" s="49" t="n"/>
    </row>
    <row r="16" ht="15" customHeight="1" s="29">
      <c r="A16" s="47" t="inlineStr">
        <is>
          <t xml:space="preserve">  Produktivstundenquote</t>
        </is>
      </c>
      <c r="B16" s="48">
        <f>IFERROR(B6/B15*100,"")</f>
        <v/>
      </c>
      <c r="C16" s="48">
        <f>IFERROR(C6/C15*100,"")</f>
        <v/>
      </c>
      <c r="D16" s="48">
        <f>IFERROR(D6/D15*100,"")</f>
        <v/>
      </c>
      <c r="E16" s="48">
        <f>IFERROR(E6/E15*100,"")</f>
        <v/>
      </c>
      <c r="F16" s="48">
        <f>IFERROR(F6/F15*100,"")</f>
        <v/>
      </c>
      <c r="G16" s="48">
        <f>IFERROR(G6/G15*100,"")</f>
        <v/>
      </c>
      <c r="H16" s="48">
        <f>IFERROR(H6/H15*100,"")</f>
        <v/>
      </c>
      <c r="I16" s="48">
        <f>IFERROR(I6/I15*100,"")</f>
        <v/>
      </c>
      <c r="J16" s="48">
        <f>IFERROR(J6/J15*100,"")</f>
        <v/>
      </c>
      <c r="K16" s="48">
        <f>IFERROR(K6/K15*100,"")</f>
        <v/>
      </c>
      <c r="L16" s="48">
        <f>IFERROR(L6/L15*100,"")</f>
        <v/>
      </c>
      <c r="M16" s="48">
        <f>IFERROR(M6/M15*100,"")</f>
        <v/>
      </c>
    </row>
    <row r="17" ht="15" customHeight="1" s="29">
      <c r="A17" s="40" t="inlineStr">
        <is>
          <t>Krankenstand in % (optional)</t>
        </is>
      </c>
      <c r="B17" s="52" t="n"/>
      <c r="C17" s="52" t="n"/>
      <c r="D17" s="52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</row>
    <row r="18" ht="15" customHeight="1" s="29">
      <c r="A18" s="40" t="inlineStr">
        <is>
          <t>Austritte im Monat (optional)</t>
        </is>
      </c>
      <c r="B18" s="49" t="n"/>
      <c r="C18" s="49" t="n"/>
      <c r="D18" s="49" t="n"/>
      <c r="E18" s="49" t="n"/>
      <c r="F18" s="49" t="n"/>
      <c r="G18" s="49" t="n"/>
      <c r="H18" s="49" t="n"/>
      <c r="I18" s="49" t="n"/>
      <c r="J18" s="49" t="n"/>
      <c r="K18" s="49" t="n"/>
      <c r="L18" s="49" t="n"/>
      <c r="M18" s="49" t="n"/>
    </row>
    <row r="20" ht="15" customHeight="1" s="29">
      <c r="A20" s="43" t="inlineStr">
        <is>
          <t>KUNDEN &amp; AUFTRÄGE</t>
        </is>
      </c>
      <c r="B20" s="44" t="n"/>
      <c r="C20" s="44" t="n"/>
      <c r="D20" s="44" t="n"/>
      <c r="E20" s="44" t="n"/>
      <c r="F20" s="44" t="n"/>
      <c r="G20" s="44" t="n"/>
      <c r="H20" s="44" t="n"/>
      <c r="I20" s="44" t="n"/>
      <c r="J20" s="44" t="n"/>
      <c r="K20" s="44" t="n"/>
      <c r="L20" s="44" t="n"/>
      <c r="M20" s="44" t="n"/>
    </row>
    <row r="21" ht="15" customHeight="1" s="29">
      <c r="A21" s="40" t="inlineStr">
        <is>
          <t>Aktive Kunden / Objekte / Mandate</t>
        </is>
      </c>
      <c r="B21" s="49" t="n">
        <v>41</v>
      </c>
      <c r="C21" s="49" t="n">
        <v>43</v>
      </c>
      <c r="D21" s="49" t="n">
        <v>45</v>
      </c>
      <c r="E21" s="49" t="n">
        <v>46</v>
      </c>
      <c r="F21" s="49" t="n">
        <v>47</v>
      </c>
      <c r="G21" s="49" t="n">
        <v>48</v>
      </c>
      <c r="H21" s="49" t="n">
        <v>49</v>
      </c>
      <c r="I21" s="49" t="n"/>
      <c r="J21" s="49" t="n"/>
      <c r="K21" s="49" t="n"/>
      <c r="L21" s="49" t="n"/>
      <c r="M21" s="49" t="n"/>
    </row>
    <row r="22" ht="15" customHeight="1" s="29">
      <c r="A22" s="40" t="inlineStr">
        <is>
          <t>Neukunden bzw. Neuaufträge im Monat</t>
        </is>
      </c>
      <c r="B22" s="49" t="n">
        <v>7</v>
      </c>
      <c r="C22" s="49" t="n">
        <v>5</v>
      </c>
      <c r="D22" s="49" t="n">
        <v>9</v>
      </c>
      <c r="E22" s="49" t="n">
        <v>6</v>
      </c>
      <c r="F22" s="49" t="n">
        <v>8</v>
      </c>
      <c r="G22" s="49" t="n">
        <v>7</v>
      </c>
      <c r="H22" s="49" t="n">
        <v>6</v>
      </c>
      <c r="I22" s="49" t="n"/>
      <c r="J22" s="49" t="n"/>
      <c r="K22" s="49" t="n"/>
      <c r="L22" s="49" t="n"/>
      <c r="M22" s="49" t="n"/>
    </row>
    <row r="23" ht="15" customHeight="1" s="29">
      <c r="A23" s="40" t="inlineStr">
        <is>
          <t>Auftragsbestand / Vertragsvolumen (optional)</t>
        </is>
      </c>
      <c r="B23" s="53" t="n">
        <v>512000</v>
      </c>
      <c r="C23" s="53" t="n">
        <v>534800</v>
      </c>
      <c r="D23" s="53" t="n">
        <v>571400</v>
      </c>
      <c r="E23" s="53" t="n">
        <v>598200</v>
      </c>
      <c r="F23" s="53" t="n">
        <v>616900</v>
      </c>
      <c r="G23" s="53" t="n">
        <v>645230</v>
      </c>
      <c r="H23" s="53" t="n">
        <v>718561</v>
      </c>
      <c r="I23" s="53" t="n"/>
      <c r="J23" s="53" t="n"/>
      <c r="K23" s="53" t="n"/>
      <c r="L23" s="53" t="n"/>
      <c r="M23" s="53" t="n"/>
    </row>
    <row r="24" ht="15" customHeight="1" s="29">
      <c r="A24" s="40" t="inlineStr">
        <is>
          <t>Reklamationen (optional)</t>
        </is>
      </c>
      <c r="B24" s="49" t="n"/>
      <c r="C24" s="49" t="n"/>
      <c r="D24" s="49" t="n"/>
      <c r="E24" s="49" t="n"/>
      <c r="F24" s="49" t="n"/>
      <c r="G24" s="49" t="n"/>
      <c r="H24" s="49" t="n"/>
      <c r="I24" s="49" t="n"/>
      <c r="J24" s="49" t="n"/>
      <c r="K24" s="49" t="n"/>
      <c r="L24" s="49" t="n"/>
      <c r="M24" s="49" t="n"/>
    </row>
    <row r="26" ht="15" customHeight="1" s="29">
      <c r="A26" s="43" t="inlineStr">
        <is>
          <t>EIGENE KENNZAHLEN  (bis zu vier – Bezeichnung in Spalte A selbst eintragen)</t>
        </is>
      </c>
      <c r="B26" s="44" t="n"/>
      <c r="C26" s="44" t="n"/>
      <c r="D26" s="44" t="n"/>
      <c r="E26" s="44" t="n"/>
      <c r="F26" s="44" t="n"/>
      <c r="G26" s="44" t="n"/>
      <c r="H26" s="44" t="n"/>
      <c r="I26" s="44" t="n"/>
      <c r="J26" s="44" t="n"/>
      <c r="K26" s="44" t="n"/>
      <c r="L26" s="44" t="n"/>
      <c r="M26" s="44" t="n"/>
    </row>
    <row r="27" ht="15" customHeight="1" s="29">
      <c r="A27" s="41" t="inlineStr">
        <is>
          <t>Eigene Kennzahl 1 …</t>
        </is>
      </c>
      <c r="B27" s="51" t="n"/>
      <c r="C27" s="51" t="n"/>
      <c r="D27" s="51" t="n"/>
      <c r="E27" s="51" t="n"/>
      <c r="F27" s="51" t="n"/>
      <c r="G27" s="51" t="n"/>
      <c r="H27" s="51" t="n"/>
      <c r="I27" s="51" t="n"/>
      <c r="J27" s="51" t="n"/>
      <c r="K27" s="51" t="n"/>
      <c r="L27" s="51" t="n"/>
      <c r="M27" s="51" t="n"/>
    </row>
    <row r="28" ht="15" customHeight="1" s="29">
      <c r="A28" s="41" t="inlineStr">
        <is>
          <t>Eigene Kennzahl 2 …</t>
        </is>
      </c>
      <c r="B28" s="51" t="n"/>
      <c r="C28" s="51" t="n"/>
      <c r="D28" s="51" t="n"/>
      <c r="E28" s="51" t="n"/>
      <c r="F28" s="51" t="n"/>
      <c r="G28" s="51" t="n"/>
      <c r="H28" s="51" t="n"/>
      <c r="I28" s="51" t="n"/>
      <c r="J28" s="51" t="n"/>
      <c r="K28" s="51" t="n"/>
      <c r="L28" s="51" t="n"/>
      <c r="M28" s="51" t="n"/>
    </row>
    <row r="29" ht="15" customHeight="1" s="29">
      <c r="A29" s="41" t="inlineStr">
        <is>
          <t>Eigene Kennzahl 3 …</t>
        </is>
      </c>
      <c r="B29" s="51" t="n"/>
      <c r="C29" s="51" t="n"/>
      <c r="D29" s="51" t="n"/>
      <c r="E29" s="51" t="n"/>
      <c r="F29" s="51" t="n"/>
      <c r="G29" s="51" t="n"/>
      <c r="H29" s="51" t="n"/>
      <c r="I29" s="51" t="n"/>
      <c r="J29" s="51" t="n"/>
      <c r="K29" s="51" t="n"/>
      <c r="L29" s="51" t="n"/>
      <c r="M29" s="51" t="n"/>
    </row>
    <row r="30" ht="15" customHeight="1" s="29">
      <c r="A30" s="41" t="inlineStr">
        <is>
          <t>Eigene Kennzahl 4 …</t>
        </is>
      </c>
      <c r="B30" s="51" t="n"/>
      <c r="C30" s="51" t="n"/>
      <c r="D30" s="51" t="n"/>
      <c r="E30" s="51" t="n"/>
      <c r="F30" s="51" t="n"/>
      <c r="G30" s="51" t="n"/>
      <c r="H30" s="51" t="n"/>
      <c r="I30" s="51" t="n"/>
      <c r="J30" s="51" t="n"/>
      <c r="K30" s="51" t="n"/>
      <c r="L30" s="51" t="n"/>
      <c r="M30" s="51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46" customWidth="1" style="28" min="1" max="1"/>
    <col width="13" customWidth="1" style="28" min="2" max="13"/>
  </cols>
  <sheetData>
    <row r="1" ht="18.55" customHeight="1" s="29">
      <c r="A1" s="37" t="inlineStr">
        <is>
          <t>4  Liquidität und Bilanz</t>
        </is>
      </c>
    </row>
    <row r="2" ht="15" customHeight="1" s="29">
      <c r="A2" s="38" t="inlineStr">
        <is>
          <t>Jeweils Stand zum Monatsende. Für die Ampel genügen die ersten vier Zeilen.</t>
        </is>
      </c>
    </row>
    <row r="4" ht="15" customHeight="1" s="29">
      <c r="A4" s="39" t="inlineStr">
        <is>
          <t>Position</t>
        </is>
      </c>
      <c r="B4" s="42" t="inlineStr">
        <is>
          <t>Januar</t>
        </is>
      </c>
      <c r="C4" s="42" t="inlineStr">
        <is>
          <t>Februar</t>
        </is>
      </c>
      <c r="D4" s="42" t="inlineStr">
        <is>
          <t>März</t>
        </is>
      </c>
      <c r="E4" s="42" t="inlineStr">
        <is>
          <t>April</t>
        </is>
      </c>
      <c r="F4" s="42" t="inlineStr">
        <is>
          <t>Mai</t>
        </is>
      </c>
      <c r="G4" s="42" t="inlineStr">
        <is>
          <t>Juni</t>
        </is>
      </c>
      <c r="H4" s="42" t="inlineStr">
        <is>
          <t>Juli</t>
        </is>
      </c>
      <c r="I4" s="42" t="inlineStr">
        <is>
          <t>August</t>
        </is>
      </c>
      <c r="J4" s="42" t="inlineStr">
        <is>
          <t>September</t>
        </is>
      </c>
      <c r="K4" s="42" t="inlineStr">
        <is>
          <t>Oktober</t>
        </is>
      </c>
      <c r="L4" s="42" t="inlineStr">
        <is>
          <t>November</t>
        </is>
      </c>
      <c r="M4" s="42" t="inlineStr">
        <is>
          <t>Dezember</t>
        </is>
      </c>
    </row>
    <row r="5" ht="15" customHeight="1" s="29">
      <c r="A5" s="43" t="inlineStr">
        <is>
          <t>LIQUIDITÄT</t>
        </is>
      </c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</row>
    <row r="6" ht="15" customHeight="1" s="29">
      <c r="A6" s="40" t="inlineStr">
        <is>
          <t>Liquide Mittel (Bank + Kasse)</t>
        </is>
      </c>
      <c r="B6" s="45" t="n">
        <v>148300</v>
      </c>
      <c r="C6" s="45" t="n">
        <v>141200</v>
      </c>
      <c r="D6" s="45" t="n">
        <v>137800</v>
      </c>
      <c r="E6" s="45" t="n">
        <v>132400</v>
      </c>
      <c r="F6" s="45" t="n">
        <v>128900</v>
      </c>
      <c r="G6" s="45" t="n">
        <v>125300</v>
      </c>
      <c r="H6" s="45" t="n">
        <v>121560.45</v>
      </c>
      <c r="I6" s="45" t="n"/>
      <c r="J6" s="45" t="n"/>
      <c r="K6" s="45" t="n"/>
      <c r="L6" s="45" t="n"/>
      <c r="M6" s="45" t="n"/>
    </row>
    <row r="7" ht="15" customHeight="1" s="29">
      <c r="A7" s="40" t="inlineStr">
        <is>
          <t>Offene Forderungen (Debitoren)</t>
        </is>
      </c>
      <c r="B7" s="45" t="n">
        <v>392000</v>
      </c>
      <c r="C7" s="45" t="n">
        <v>404500</v>
      </c>
      <c r="D7" s="45" t="n">
        <v>441000</v>
      </c>
      <c r="E7" s="45" t="n">
        <v>455000</v>
      </c>
      <c r="F7" s="45" t="n">
        <v>470000</v>
      </c>
      <c r="G7" s="45" t="n">
        <v>512000</v>
      </c>
      <c r="H7" s="45" t="n">
        <v>584092.75</v>
      </c>
      <c r="I7" s="45" t="n"/>
      <c r="J7" s="45" t="n"/>
      <c r="K7" s="45" t="n"/>
      <c r="L7" s="45" t="n"/>
      <c r="M7" s="45" t="n"/>
    </row>
    <row r="8" ht="15" customHeight="1" s="29">
      <c r="A8" s="40" t="inlineStr">
        <is>
          <t>Kurzfristige Verbindlichkeiten</t>
        </is>
      </c>
      <c r="B8" s="45" t="n">
        <v>498000</v>
      </c>
      <c r="C8" s="45" t="n">
        <v>505000</v>
      </c>
      <c r="D8" s="45" t="n">
        <v>516000</v>
      </c>
      <c r="E8" s="45" t="n">
        <v>523000</v>
      </c>
      <c r="F8" s="45" t="n">
        <v>531000</v>
      </c>
      <c r="G8" s="45" t="n">
        <v>544000</v>
      </c>
      <c r="H8" s="45" t="n">
        <v>561000</v>
      </c>
      <c r="I8" s="45" t="n"/>
      <c r="J8" s="45" t="n"/>
      <c r="K8" s="45" t="n"/>
      <c r="L8" s="45" t="n"/>
      <c r="M8" s="45" t="n"/>
    </row>
    <row r="9" ht="15" customHeight="1" s="29">
      <c r="A9" s="47" t="inlineStr">
        <is>
          <t xml:space="preserve">  Liquidität 1. Grades</t>
        </is>
      </c>
      <c r="B9" s="48">
        <f>IFERROR(B6/B8*100,"")</f>
        <v/>
      </c>
      <c r="C9" s="48">
        <f>IFERROR(C6/C8*100,"")</f>
        <v/>
      </c>
      <c r="D9" s="48">
        <f>IFERROR(D6/D8*100,"")</f>
        <v/>
      </c>
      <c r="E9" s="48">
        <f>IFERROR(E6/E8*100,"")</f>
        <v/>
      </c>
      <c r="F9" s="48">
        <f>IFERROR(F6/F8*100,"")</f>
        <v/>
      </c>
      <c r="G9" s="48">
        <f>IFERROR(G6/G8*100,"")</f>
        <v/>
      </c>
      <c r="H9" s="48">
        <f>IFERROR(H6/H8*100,"")</f>
        <v/>
      </c>
      <c r="I9" s="48">
        <f>IFERROR(I6/I8*100,"")</f>
        <v/>
      </c>
      <c r="J9" s="48">
        <f>IFERROR(J6/J8*100,"")</f>
        <v/>
      </c>
      <c r="K9" s="48">
        <f>IFERROR(K6/K8*100,"")</f>
        <v/>
      </c>
      <c r="L9" s="48">
        <f>IFERROR(L6/L8*100,"")</f>
        <v/>
      </c>
      <c r="M9" s="48">
        <f>IFERROR(M6/M8*100,"")</f>
        <v/>
      </c>
    </row>
    <row r="10" ht="15" customHeight="1" s="29">
      <c r="A10" s="47" t="inlineStr">
        <is>
          <t xml:space="preserve">  Debitorenlaufzeit (DSO, Tage)</t>
        </is>
      </c>
      <c r="B10" s="54">
        <f>IFERROR(B7/'2 GuV'!B10*30,"")</f>
        <v/>
      </c>
      <c r="C10" s="54">
        <f>IFERROR(C7/'2 GuV'!C10*30,"")</f>
        <v/>
      </c>
      <c r="D10" s="54">
        <f>IFERROR(D7/'2 GuV'!D10*30,"")</f>
        <v/>
      </c>
      <c r="E10" s="54">
        <f>IFERROR(E7/'2 GuV'!E10*30,"")</f>
        <v/>
      </c>
      <c r="F10" s="54">
        <f>IFERROR(F7/'2 GuV'!F10*30,"")</f>
        <v/>
      </c>
      <c r="G10" s="54">
        <f>IFERROR(G7/'2 GuV'!G10*30,"")</f>
        <v/>
      </c>
      <c r="H10" s="54">
        <f>IFERROR(H7/'2 GuV'!H10*30,"")</f>
        <v/>
      </c>
      <c r="I10" s="54">
        <f>IFERROR(I7/'2 GuV'!I10*30,"")</f>
        <v/>
      </c>
      <c r="J10" s="54">
        <f>IFERROR(J7/'2 GuV'!J10*30,"")</f>
        <v/>
      </c>
      <c r="K10" s="54">
        <f>IFERROR(K7/'2 GuV'!K10*30,"")</f>
        <v/>
      </c>
      <c r="L10" s="54">
        <f>IFERROR(L7/'2 GuV'!L10*30,"")</f>
        <v/>
      </c>
      <c r="M10" s="54">
        <f>IFERROR(M7/'2 GuV'!M10*30,"")</f>
        <v/>
      </c>
    </row>
    <row r="12" ht="15" customHeight="1" s="29">
      <c r="A12" s="43" t="inlineStr">
        <is>
          <t>BILANZ  (optional – falls nicht verfügbar, leer lassen)</t>
        </is>
      </c>
      <c r="B12" s="44" t="n"/>
      <c r="C12" s="44" t="n"/>
      <c r="D12" s="44" t="n"/>
      <c r="E12" s="44" t="n"/>
      <c r="F12" s="44" t="n"/>
      <c r="G12" s="44" t="n"/>
      <c r="H12" s="44" t="n"/>
      <c r="I12" s="44" t="n"/>
      <c r="J12" s="44" t="n"/>
      <c r="K12" s="44" t="n"/>
      <c r="L12" s="44" t="n"/>
      <c r="M12" s="44" t="n"/>
    </row>
    <row r="13" ht="15" customHeight="1" s="29">
      <c r="A13" s="40" t="inlineStr">
        <is>
          <t>Eigenkapital</t>
        </is>
      </c>
      <c r="B13" s="45" t="n">
        <v>742000</v>
      </c>
      <c r="C13" s="45" t="n">
        <v>748000</v>
      </c>
      <c r="D13" s="45" t="n">
        <v>760000</v>
      </c>
      <c r="E13" s="45" t="n">
        <v>770000</v>
      </c>
      <c r="F13" s="45" t="n">
        <v>777000</v>
      </c>
      <c r="G13" s="45" t="n">
        <v>795000</v>
      </c>
      <c r="H13" s="45" t="n">
        <v>801400</v>
      </c>
      <c r="I13" s="45" t="n"/>
      <c r="J13" s="45" t="n"/>
      <c r="K13" s="45" t="n"/>
      <c r="L13" s="45" t="n"/>
      <c r="M13" s="45" t="n"/>
    </row>
    <row r="14" ht="15" customHeight="1" s="29">
      <c r="A14" s="40" t="inlineStr">
        <is>
          <t>Bilanzsumme</t>
        </is>
      </c>
      <c r="B14" s="45" t="n">
        <v>2098000</v>
      </c>
      <c r="C14" s="45" t="n">
        <v>2104000</v>
      </c>
      <c r="D14" s="45" t="n">
        <v>2118000</v>
      </c>
      <c r="E14" s="45" t="n">
        <v>2130000</v>
      </c>
      <c r="F14" s="45" t="n">
        <v>2142000</v>
      </c>
      <c r="G14" s="45" t="n">
        <v>2178000</v>
      </c>
      <c r="H14" s="45" t="n">
        <v>2238000</v>
      </c>
      <c r="I14" s="45" t="n"/>
      <c r="J14" s="45" t="n"/>
      <c r="K14" s="45" t="n"/>
      <c r="L14" s="45" t="n"/>
      <c r="M14" s="45" t="n"/>
    </row>
    <row r="15" ht="15" customHeight="1" s="29">
      <c r="A15" s="47" t="inlineStr">
        <is>
          <t xml:space="preserve">  Eigenkapitalquote</t>
        </is>
      </c>
      <c r="B15" s="48">
        <f>IFERROR(B13/B14*100,"")</f>
        <v/>
      </c>
      <c r="C15" s="48">
        <f>IFERROR(C13/C14*100,"")</f>
        <v/>
      </c>
      <c r="D15" s="48">
        <f>IFERROR(D13/D14*100,"")</f>
        <v/>
      </c>
      <c r="E15" s="48">
        <f>IFERROR(E13/E14*100,"")</f>
        <v/>
      </c>
      <c r="F15" s="48">
        <f>IFERROR(F13/F14*100,"")</f>
        <v/>
      </c>
      <c r="G15" s="48">
        <f>IFERROR(G13/G14*100,"")</f>
        <v/>
      </c>
      <c r="H15" s="48">
        <f>IFERROR(H13/H14*100,"")</f>
        <v/>
      </c>
      <c r="I15" s="48">
        <f>IFERROR(I13/I14*100,"")</f>
        <v/>
      </c>
      <c r="J15" s="48">
        <f>IFERROR(J13/J14*100,"")</f>
        <v/>
      </c>
      <c r="K15" s="48">
        <f>IFERROR(K13/K14*100,"")</f>
        <v/>
      </c>
      <c r="L15" s="48">
        <f>IFERROR(L13/L14*100,"")</f>
        <v/>
      </c>
      <c r="M15" s="48">
        <f>IFERROR(M13/M14*100,"")</f>
        <v/>
      </c>
    </row>
    <row r="16" ht="15" customHeight="1" s="29">
      <c r="A16" s="40" t="inlineStr">
        <is>
          <t>Finanzverbindlichkeiten (Darlehen, Kontokorrent)</t>
        </is>
      </c>
      <c r="B16" s="45" t="n"/>
      <c r="C16" s="45" t="n"/>
      <c r="D16" s="45" t="n"/>
      <c r="E16" s="45" t="n"/>
      <c r="F16" s="45" t="n"/>
      <c r="G16" s="45" t="n"/>
      <c r="H16" s="45" t="n"/>
      <c r="I16" s="45" t="n"/>
      <c r="J16" s="45" t="n"/>
      <c r="K16" s="45" t="n"/>
      <c r="L16" s="45" t="n"/>
      <c r="M16" s="45" t="n"/>
    </row>
    <row r="17" ht="15" customHeight="1" s="29">
      <c r="A17" s="40" t="inlineStr">
        <is>
          <t>Anlagevermögen (optional)</t>
        </is>
      </c>
      <c r="B17" s="45" t="n"/>
      <c r="C17" s="45" t="n"/>
      <c r="D17" s="45" t="n"/>
      <c r="E17" s="45" t="n"/>
      <c r="F17" s="45" t="n"/>
      <c r="G17" s="45" t="n"/>
      <c r="H17" s="45" t="n"/>
      <c r="I17" s="45" t="n"/>
      <c r="J17" s="45" t="n"/>
      <c r="K17" s="45" t="n"/>
      <c r="L17" s="45" t="n"/>
      <c r="M17" s="4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28" min="1" max="1"/>
    <col width="18" customWidth="1" style="28" min="2" max="2"/>
    <col width="22" customWidth="1" style="28" min="3" max="3"/>
    <col width="52" customWidth="1" style="28" min="4" max="4"/>
  </cols>
  <sheetData>
    <row r="1" ht="18.55" customHeight="1" s="29">
      <c r="A1" s="37" t="inlineStr">
        <is>
          <t>5  Zielwerte für die Ampel</t>
        </is>
      </c>
    </row>
    <row r="2" ht="15" customHeight="1" s="29">
      <c r="A2" s="38" t="inlineStr">
        <is>
          <t>Grün = Ziel erreicht · Gelb = bis 10 % verfehlt · Rot = mehr als 10 % verfehlt.</t>
        </is>
      </c>
    </row>
    <row r="4" ht="15" customHeight="1" s="29">
      <c r="A4" s="39" t="inlineStr">
        <is>
          <t>Kennzahl</t>
        </is>
      </c>
      <c r="B4" s="39" t="inlineStr">
        <is>
          <t>Zielwert</t>
        </is>
      </c>
      <c r="C4" s="39" t="inlineStr">
        <is>
          <t>Richtung</t>
        </is>
      </c>
      <c r="D4" s="39" t="inlineStr">
        <is>
          <t>Hinweis</t>
        </is>
      </c>
    </row>
    <row r="5" ht="15" customHeight="1" s="29">
      <c r="A5" s="40" t="inlineStr">
        <is>
          <t>Umsatzerlöse je Monat</t>
        </is>
      </c>
      <c r="B5" s="45" t="n">
        <v>335000</v>
      </c>
      <c r="C5" s="41" t="inlineStr">
        <is>
          <t>höher ist besser</t>
        </is>
      </c>
      <c r="D5" s="55" t="inlineStr">
        <is>
          <t>Ihr Monatsziel.</t>
        </is>
      </c>
    </row>
    <row r="6" ht="15" customHeight="1" s="29">
      <c r="A6" s="40" t="inlineStr">
        <is>
          <t>EBT-Marge</t>
        </is>
      </c>
      <c r="B6" s="52" t="n">
        <v>8</v>
      </c>
      <c r="C6" s="41" t="inlineStr">
        <is>
          <t>höher ist besser</t>
        </is>
      </c>
      <c r="D6" s="55" t="inlineStr">
        <is>
          <t>In Prozent, z. B. 6,0.</t>
        </is>
      </c>
    </row>
    <row r="7" ht="15" customHeight="1" s="29">
      <c r="A7" s="40" t="inlineStr">
        <is>
          <t>Deckungsbeitragsquote</t>
        </is>
      </c>
      <c r="B7" s="52" t="n">
        <v>40</v>
      </c>
      <c r="C7" s="41" t="inlineStr">
        <is>
          <t>höher ist besser</t>
        </is>
      </c>
      <c r="D7" s="55" t="inlineStr">
        <is>
          <t>In Prozent.</t>
        </is>
      </c>
    </row>
    <row r="8" ht="15" customHeight="1" s="29">
      <c r="A8" s="40" t="inlineStr">
        <is>
          <t>Liquide Mittel (Mindestbestand)</t>
        </is>
      </c>
      <c r="B8" s="45" t="n">
        <v>150000</v>
      </c>
      <c r="C8" s="41" t="inlineStr">
        <is>
          <t>höher ist besser</t>
        </is>
      </c>
      <c r="D8" s="55" t="inlineStr">
        <is>
          <t>Unter welchen Betrag darf der Kontostand nicht fallen?</t>
        </is>
      </c>
    </row>
    <row r="9" ht="15" customHeight="1" s="29">
      <c r="A9" s="40" t="inlineStr">
        <is>
          <t>Eigenkapitalquote</t>
        </is>
      </c>
      <c r="B9" s="52" t="n">
        <v>35</v>
      </c>
      <c r="C9" s="41" t="inlineStr">
        <is>
          <t>höher ist besser</t>
        </is>
      </c>
      <c r="D9" s="55" t="inlineStr">
        <is>
          <t>In Prozent (optional).</t>
        </is>
      </c>
    </row>
    <row r="10" ht="15" customHeight="1" s="29">
      <c r="A10" s="40" t="inlineStr">
        <is>
          <t>Debitorenlaufzeit (DSO)</t>
        </is>
      </c>
      <c r="B10" s="49" t="n">
        <v>40</v>
      </c>
      <c r="C10" s="41" t="inlineStr">
        <is>
          <t>niedriger ist besser</t>
        </is>
      </c>
      <c r="D10" s="55" t="inlineStr">
        <is>
          <t>In Tagen.</t>
        </is>
      </c>
    </row>
    <row r="11" ht="15" customHeight="1" s="29">
      <c r="A11" s="40" t="inlineStr">
        <is>
          <t>Auslastung</t>
        </is>
      </c>
      <c r="B11" s="52" t="n">
        <v>78</v>
      </c>
      <c r="C11" s="41" t="inlineStr">
        <is>
          <t>höher ist besser</t>
        </is>
      </c>
      <c r="D11" s="55" t="inlineStr">
        <is>
          <t>In Prozent (optional).</t>
        </is>
      </c>
    </row>
    <row r="12" ht="15" customHeight="1" s="29">
      <c r="A12" s="40" t="inlineStr">
        <is>
          <t>Aktive Kunden / Objekte</t>
        </is>
      </c>
      <c r="B12" s="49" t="n">
        <v>40</v>
      </c>
      <c r="C12" s="41" t="inlineStr">
        <is>
          <t>höher ist besser</t>
        </is>
      </c>
      <c r="D12" s="55" t="n"/>
    </row>
    <row r="13" ht="15" customHeight="1" s="29">
      <c r="A13" s="40" t="inlineStr">
        <is>
          <t>Neukunden je Monat</t>
        </is>
      </c>
      <c r="B13" s="49" t="n">
        <v>8</v>
      </c>
      <c r="C13" s="41" t="inlineStr">
        <is>
          <t>höher ist besser</t>
        </is>
      </c>
      <c r="D13" s="55" t="n"/>
    </row>
    <row r="14" ht="15" customHeight="1" s="29">
      <c r="A14" s="40" t="inlineStr">
        <is>
          <t>Eigene Kennzahl 1</t>
        </is>
      </c>
      <c r="B14" s="51" t="n"/>
      <c r="C14" s="41" t="n"/>
      <c r="D14" s="55" t="inlineStr">
        <is>
          <t>Bezeichnung aus Blatt 3 übernehmen.</t>
        </is>
      </c>
    </row>
    <row r="15" ht="15" customHeight="1" s="29">
      <c r="A15" s="40" t="inlineStr">
        <is>
          <t>Eigene Kennzahl 2</t>
        </is>
      </c>
      <c r="B15" s="51" t="n"/>
      <c r="C15" s="41" t="n"/>
      <c r="D15" s="55" t="n"/>
    </row>
    <row r="16" ht="15" customHeight="1" s="29">
      <c r="A16" s="40" t="inlineStr">
        <is>
          <t>Eigene Kennzahl 3</t>
        </is>
      </c>
      <c r="B16" s="51" t="n"/>
      <c r="C16" s="41" t="n"/>
      <c r="D16" s="55" t="n"/>
    </row>
    <row r="17" ht="15" customHeight="1" s="29">
      <c r="A17" s="40" t="inlineStr">
        <is>
          <t>Eigene Kennzahl 4</t>
        </is>
      </c>
      <c r="B17" s="51" t="n"/>
      <c r="C17" s="41" t="n"/>
      <c r="D17" s="55" t="n"/>
    </row>
  </sheetData>
  <dataValidations count="1">
    <dataValidation sqref="C5:C17" showDropDown="0" showInputMessage="0" showErrorMessage="0" allowBlank="1" type="list" errorStyle="stop" operator="between">
      <formula1>"höher ist besser,niedriger ist besser"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C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28" min="1" max="1"/>
    <col width="16" customWidth="1" style="28" min="2" max="2"/>
    <col width="60" customWidth="1" style="28" min="3" max="3"/>
  </cols>
  <sheetData>
    <row r="1" ht="18.55" customHeight="1" s="29">
      <c r="A1" s="37" t="inlineStr">
        <is>
          <t>6  Prüfung der Vollständigkeit</t>
        </is>
      </c>
    </row>
    <row r="2" ht="15" customHeight="1" s="29">
      <c r="A2" s="38" t="inlineStr">
        <is>
          <t>Steht in Spalte B überall „OK“, kann die Datei zurückgesendet werden.</t>
        </is>
      </c>
    </row>
    <row r="4" ht="15" customHeight="1" s="29">
      <c r="A4" s="39" t="inlineStr">
        <is>
          <t>Prüfpunkt</t>
        </is>
      </c>
      <c r="B4" s="39" t="inlineStr">
        <is>
          <t>Status</t>
        </is>
      </c>
      <c r="C4" s="39" t="inlineStr">
        <is>
          <t>Hinweis bei Fehler</t>
        </is>
      </c>
    </row>
    <row r="5" ht="15" customHeight="1" s="29">
      <c r="A5" s="40" t="inlineStr">
        <is>
          <t>Stammdaten ausgefüllt</t>
        </is>
      </c>
      <c r="B5" s="56">
        <f>IF(COUNTA('1 Stammdaten'!B5:B15)&gt;=8,"OK","unvollständig")</f>
        <v/>
      </c>
      <c r="C5" s="55" t="inlineStr">
        <is>
          <t>Firmenname, Berichtsmonat und Leistungseinheit werden benötigt.</t>
        </is>
      </c>
    </row>
    <row r="6" ht="15" customHeight="1" s="29">
      <c r="A6" s="40" t="inlineStr">
        <is>
          <t>Umsatzerlöse erfasst</t>
        </is>
      </c>
      <c r="B6" s="56">
        <f>IF(SUM('2 GuV'!B10:M10)&gt;0,"OK","fehlt")</f>
        <v/>
      </c>
      <c r="C6" s="55" t="inlineStr">
        <is>
          <t>In Blatt 2 sind keine Erlöse eingetragen.</t>
        </is>
      </c>
    </row>
    <row r="7" ht="15" customHeight="1" s="29">
      <c r="A7" s="40" t="inlineStr">
        <is>
          <t>Kosten erfasst</t>
        </is>
      </c>
      <c r="B7" s="56">
        <f>IF(SUM('2 GuV'!B37:M37)+SUM('2 GuV'!B22:M22)&gt;0,"OK","fehlt")</f>
        <v/>
      </c>
      <c r="C7" s="55" t="inlineStr">
        <is>
          <t>Weder variable noch fixe Kosten eingetragen.</t>
        </is>
      </c>
    </row>
    <row r="8" ht="15" customHeight="1" s="29">
      <c r="A8" s="40" t="inlineStr">
        <is>
          <t>Mengen erfasst</t>
        </is>
      </c>
      <c r="B8" s="56">
        <f>IF(SUM('3 Mengen &amp; Operativ'!B6:M6)&gt;0,"OK","fehlt")</f>
        <v/>
      </c>
      <c r="C8" s="55" t="inlineStr">
        <is>
          <t>Ohne Mengen sind Break-Even und Preis je Einheit nicht berechenbar.</t>
        </is>
      </c>
    </row>
    <row r="9" ht="15" customHeight="1" s="29">
      <c r="A9" s="40" t="inlineStr">
        <is>
          <t>Liquide Mittel erfasst</t>
        </is>
      </c>
      <c r="B9" s="56">
        <f>IF(COUNT('4 Liquidität &amp; Bilanz'!B6:M6)&gt;0,"OK","fehlt")</f>
        <v/>
      </c>
      <c r="C9" s="55" t="inlineStr">
        <is>
          <t>Für die Liquiditätsampel erforderlich.</t>
        </is>
      </c>
    </row>
    <row r="10" ht="15" customHeight="1" s="29">
      <c r="A10" s="40" t="inlineStr">
        <is>
          <t>Zielwerte gesetzt</t>
        </is>
      </c>
      <c r="B10" s="56">
        <f>IF(COUNT('5 Zielwerte'!B5:B17)&gt;=4,"OK","unvollständig")</f>
        <v/>
      </c>
      <c r="C10" s="55" t="inlineStr">
        <is>
          <t>Mindestens vier Zielwerte eintragen, sonst entfällt die Ampel.</t>
        </is>
      </c>
    </row>
    <row r="11" ht="15" customHeight="1" s="29">
      <c r="A11" s="40" t="inlineStr">
        <is>
          <t>Plausibilität: Kosten kleiner als Erlöse?</t>
        </is>
      </c>
      <c r="B11" s="56">
        <f>IF(SUM('2 GuV'!B10:M10)&gt;SUM('2 GuV'!B22:M22),"OK","bitte prüfen")</f>
        <v/>
      </c>
      <c r="C11" s="55" t="inlineStr">
        <is>
          <t>Variable Kosten übersteigen den Umsatz – meist ein Eingabefehler.</t>
        </is>
      </c>
    </row>
    <row r="12" ht="15" customHeight="1" s="29">
      <c r="A12" s="40" t="inlineStr">
        <is>
          <t>Anzahl befüllter Monate</t>
        </is>
      </c>
      <c r="B12" s="56">
        <f>COUNT('2 GuV'!B6:M6)&amp;" Monat(e) erfasst"</f>
        <v/>
      </c>
      <c r="C12" s="55" t="inlineStr">
        <is>
          <t>Für Halbjahresvergleich werden mindestens sechs Monate benötigt.</t>
        </is>
      </c>
    </row>
    <row r="14" ht="15" customHeight="1" s="29">
      <c r="A14" s="34" t="inlineStr">
        <is>
          <t>Wenn alles auf OK steht: Datei speichern und an Valtix zurücksenden.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2026-08-25T13:07:36Z</dcterms:created>
  <dcterms:modified xmlns:dcterms="http://purl.org/dc/terms/" xmlns:xsi="http://www.w3.org/2001/XMLSchema-instance" xsi:type="dcterms:W3CDTF">2026-09-09T11:27:52Z</dcterms:modified>
  <cp:revision>0</cp:revision>
</cp:coreProperties>
</file>